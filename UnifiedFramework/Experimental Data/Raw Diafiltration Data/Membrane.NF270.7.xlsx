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7d0e272dd2d022/Documents/Diafiltration/"/>
    </mc:Choice>
  </mc:AlternateContent>
  <xr:revisionPtr revIDLastSave="4" documentId="8_{9A3741A1-941C-4C96-B5BE-50D3965DA4BD}" xr6:coauthVersionLast="47" xr6:coauthVersionMax="47" xr10:uidLastSave="{9FF82287-04D0-47D5-AB55-E17091D629EB}"/>
  <bookViews>
    <workbookView xWindow="-96" yWindow="-96" windowWidth="23232" windowHeight="12432" activeTab="1" xr2:uid="{33F3696A-A54A-4511-ACC6-6A12DB6C305D}"/>
  </bookViews>
  <sheets>
    <sheet name="1.30.23Lag" sheetId="10" r:id="rId1"/>
    <sheet name="1.31.23Lag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1" l="1"/>
  <c r="K7" i="10"/>
  <c r="K8" i="10"/>
  <c r="K9" i="10"/>
  <c r="K10" i="10"/>
  <c r="K11" i="10"/>
  <c r="K12" i="10"/>
  <c r="K6" i="10"/>
  <c r="M9" i="10" l="1"/>
  <c r="M7" i="10"/>
  <c r="O7" i="10" s="1"/>
  <c r="O9" i="10" l="1"/>
  <c r="M6" i="10"/>
  <c r="K7" i="11" l="1"/>
  <c r="K8" i="11"/>
  <c r="K9" i="11"/>
  <c r="K10" i="11"/>
  <c r="K11" i="11"/>
  <c r="K12" i="11"/>
  <c r="K13" i="11"/>
  <c r="K14" i="11"/>
  <c r="K15" i="11"/>
  <c r="K16" i="11"/>
  <c r="K17" i="11"/>
  <c r="K18" i="11"/>
  <c r="K19" i="11"/>
  <c r="K13" i="10" l="1"/>
  <c r="K14" i="10"/>
  <c r="K15" i="10"/>
  <c r="K16" i="10"/>
  <c r="K17" i="10"/>
  <c r="K18" i="10"/>
  <c r="K19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8C4E28-ADD8-4DBD-BE3B-8ACAC39A3F88}" keepAlive="1" name="Query - Exp_01282021_NF90_5_F_SS_KCl" description="Connection to the 'Exp_01282021_NF90_5_F_SS_KCl' query in the workbook." type="5" refreshedVersion="6" background="1" saveData="1">
    <dbPr connection="Provider=Microsoft.Mashup.OleDb.1;Data Source=$Workbook$;Location=Exp_01282021_NF90_5_F_SS_KCl;Extended Properties=&quot;&quot;" command="SELECT * FROM [Exp_01282021_NF90_5_F_SS_KCl]"/>
  </connection>
  <connection id="2" xr16:uid="{3E7FC72F-F0DF-44D5-85D5-D4D8BA0E66EE}" keepAlive="1" name="Query - Exp_01282021_NF90_5_F_SS_KCl (2)" description="Connection to the 'Exp_01282021_NF90_5_F_SS_KCl (2)' query in the workbook." type="5" refreshedVersion="6" background="1" saveData="1">
    <dbPr connection="Provider=Microsoft.Mashup.OleDb.1;Data Source=$Workbook$;Location=&quot;Exp_01282021_NF90_5_F_SS_KCl (2)&quot;;Extended Properties=&quot;&quot;" command="SELECT * FROM [Exp_01282021_NF90_5_F_SS_KCl (2)]"/>
  </connection>
  <connection id="3" xr16:uid="{C4E05F35-F6BA-43DD-87E3-45B2E906B91C}" keepAlive="1" name="Query - Exp_01302023_NF270_7_lag_D_SS_KCl" description="Connection to the 'Exp_01302023_NF270_7_lag_D_SS_KCl' query in the workbook." type="5" refreshedVersion="8" background="1" saveData="1">
    <dbPr connection="Provider=Microsoft.Mashup.OleDb.1;Data Source=$Workbook$;Location=Exp_01302023_NF270_7_lag_D_SS_KCl;Extended Properties=&quot;&quot;" command="SELECT * FROM [Exp_01302023_NF270_7_lag_D_SS_KCl]"/>
  </connection>
  <connection id="4" xr16:uid="{5F1513C6-0260-4984-BB35-2D1B77653B64}" keepAlive="1" name="Query - Exp_01302023_NF270_7_lag_D_SS_KCl_FullCond" description="Connection to the 'Exp_01302023_NF270_7_lag_D_SS_KCl_FullCond' query in the workbook." type="5" refreshedVersion="0" background="1" saveData="1">
    <dbPr connection="Provider=Microsoft.Mashup.OleDb.1;Data Source=$Workbook$;Location=Exp_01302023_NF270_7_lag_D_SS_KCl_FullCond;Extended Properties=&quot;&quot;" command="SELECT * FROM [Exp_01302023_NF270_7_lag_D_SS_KCl_FullCond]"/>
  </connection>
  <connection id="5" xr16:uid="{6781912E-12CD-4338-9971-1FB73E365458}" keepAlive="1" name="Query - Exp_02042021_NF90_6_F_SS_KCl" description="Connection to the 'Exp_02042021_NF90_6_F_SS_KCl' query in the workbook." type="5" refreshedVersion="7" background="1" saveData="1">
    <dbPr connection="Provider=Microsoft.Mashup.OleDb.1;Data Source=$Workbook$;Location=Exp_02042021_NF90_6_F_SS_KCl;Extended Properties=&quot;&quot;" command="SELECT * FROM [Exp_02042021_NF90_6_F_SS_KCl]"/>
  </connection>
  <connection id="6" xr16:uid="{1CD7879D-5593-4C8A-82AF-F2782C6BCD47}" keepAlive="1" name="Query - Exp_02092021_NF90_5_F_SS_MgCl2" description="Connection to the 'Exp_02092021_NF90_5_F_SS_MgCl2' query in the workbook." type="5" refreshedVersion="6" background="1" saveData="1">
    <dbPr connection="Provider=Microsoft.Mashup.OleDb.1;Data Source=$Workbook$;Location=Exp_02092021_NF90_5_F_SS_MgCl2;Extended Properties=&quot;&quot;" command="SELECT * FROM [Exp_02092021_NF90_5_F_SS_MgCl2]"/>
  </connection>
  <connection id="7" xr16:uid="{7A399D69-7643-48BD-B759-ED318B6A81F4}" keepAlive="1" name="Query - Exp_05242021_NF90_6_2_F_SS_KCl" description="Connection to the 'Exp_05242021_NF90_6_2_F_SS_KCl' query in the workbook." type="5" refreshedVersion="7" background="1" saveData="1">
    <dbPr connection="Provider=Microsoft.Mashup.OleDb.1;Data Source=$Workbook$;Location=Exp_05242021_NF90_6_2_F_SS_KCl;Extended Properties=&quot;&quot;" command="SELECT * FROM [Exp_05242021_NF90_6_2_F_SS_KCl]"/>
  </connection>
</connections>
</file>

<file path=xl/sharedStrings.xml><?xml version="1.0" encoding="utf-8"?>
<sst xmlns="http://schemas.openxmlformats.org/spreadsheetml/2006/main" count="105" uniqueCount="62">
  <si>
    <t>Experiment Identifier:</t>
  </si>
  <si>
    <t xml:space="preserve">Experiment Type: </t>
  </si>
  <si>
    <t>Number of Salts:</t>
  </si>
  <si>
    <t>Salts:</t>
  </si>
  <si>
    <t>Initial Concentration (mM):</t>
  </si>
  <si>
    <t>mM</t>
  </si>
  <si>
    <t>Dialysate Concentration (mM):</t>
  </si>
  <si>
    <t>ICP ID</t>
  </si>
  <si>
    <t xml:space="preserve">Empty SC Weight: </t>
  </si>
  <si>
    <t>g</t>
  </si>
  <si>
    <t>Initial SC Weight w/ Solution:</t>
  </si>
  <si>
    <t>Final SC Weight:</t>
  </si>
  <si>
    <t>Initial Pressure:</t>
  </si>
  <si>
    <t>PSI</t>
  </si>
  <si>
    <t>Operating Pressure:</t>
  </si>
  <si>
    <t>Sample ID</t>
  </si>
  <si>
    <t>Sample</t>
  </si>
  <si>
    <t>mL</t>
  </si>
  <si>
    <t>mg/L</t>
  </si>
  <si>
    <t>Final Tube Vial Weight:</t>
  </si>
  <si>
    <t>Final Tube Vial w/ Solution Weight:</t>
  </si>
  <si>
    <t>Nitric Acid Required Volume</t>
  </si>
  <si>
    <t>ICP Data</t>
  </si>
  <si>
    <t>Adjusted Data</t>
  </si>
  <si>
    <t>mmole/L</t>
  </si>
  <si>
    <t>Diafiltration</t>
  </si>
  <si>
    <t>KCl</t>
  </si>
  <si>
    <t>Exp_01302023_NF270_7_lag_D_SS_KCl</t>
  </si>
  <si>
    <t>Exp_01312023_NF270_7_D_SS_KCl</t>
  </si>
  <si>
    <t>ICP Data - ICP Run 6.27.23</t>
  </si>
  <si>
    <t>NF270.7LAG 1.30.23 FEED</t>
  </si>
  <si>
    <t>NF270.7LAG 1.30.23 DIAFILTRATE</t>
  </si>
  <si>
    <t>NF270.7LAG 1.30.23 FINAL TUBE</t>
  </si>
  <si>
    <t>NF270.7LAG 1.30.23 RETENTATE</t>
  </si>
  <si>
    <t>NF270.7LAG 1.30.23 PERM 1</t>
  </si>
  <si>
    <t>NF270.7LAG 1.30.23 PERM 2</t>
  </si>
  <si>
    <t>NF270.7LAG 1.30.23 PERM 3</t>
  </si>
  <si>
    <t>NF270.7LAG 1.30.23 PERM 4</t>
  </si>
  <si>
    <t>NF270.7LAG 1.30.23 PERM 5</t>
  </si>
  <si>
    <t>NF270.7LAG 1.30.23 PERM 6</t>
  </si>
  <si>
    <t>NF270.7LAG 1.30.23 PERM 7</t>
  </si>
  <si>
    <t>NF270.7LAG 1.30.23 PERM 8</t>
  </si>
  <si>
    <t>NF270.7LAG 1.30.23 PERM 9</t>
  </si>
  <si>
    <t>NF270.7LAG 1.30.23 PERM 10</t>
  </si>
  <si>
    <t>NF270.7LAG 1.31.23 FEED</t>
  </si>
  <si>
    <t>NF270.7LAG 1.31.23 DIAFILTRATE</t>
  </si>
  <si>
    <t>NF270.7LAG 1.31.23 FINAL TUBE</t>
  </si>
  <si>
    <t>NF270.7LAG 1.31.23 RETENTATE</t>
  </si>
  <si>
    <t>NF270.7LAG 1.31.23 PERM 1</t>
  </si>
  <si>
    <t>NF270.7LAG 1.31.23 PERM 2</t>
  </si>
  <si>
    <t>NF270.7LAG 1.31.23 PERM 3</t>
  </si>
  <si>
    <t>NF270.7LAG 1.31.23 PERM 4</t>
  </si>
  <si>
    <t>NF270.7LAG 1.31.23 PERM 5</t>
  </si>
  <si>
    <t>NF270.7LAG 1.31.23 PERM 6</t>
  </si>
  <si>
    <t>NF270.7LAG 1.31.23 PERM 7</t>
  </si>
  <si>
    <t>NF270.7LAG 1.31.23 PERM 8</t>
  </si>
  <si>
    <t>NF270.7LAG 1.31.23 PERM 9</t>
  </si>
  <si>
    <t>NF270.7LAG 1.31.23 PERM 10</t>
  </si>
  <si>
    <t>ICP Data - diluted</t>
  </si>
  <si>
    <t>Adjusted Data - diluted</t>
  </si>
  <si>
    <t>aimed for 1.2mM</t>
  </si>
  <si>
    <t>aimed for 1mM (assuming retentate was 100mM)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</si>
</sst>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64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64"/>
      <name val="Tahoma"/>
      <family val="2"/>
    </font>
    <font>
      <sz val="8"/>
      <color indexed="64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11"/>
        <bgColor indexed="14"/>
      </patternFill>
    </fill>
    <fill>
      <patternFill patternType="solid">
        <fgColor indexed="11"/>
        <bgColor indexed="12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4" fillId="0" borderId="0"/>
    <xf numFmtId="0" fontId="5" fillId="0" borderId="0"/>
  </cellStyleXfs>
  <cellXfs count="35">
    <xf numFmtId="0" fontId="0" fillId="0" borderId="0" xfId="0"/>
    <xf numFmtId="10" fontId="0" fillId="0" borderId="0" xfId="1" applyNumberFormat="1" applyFont="1" applyFill="1" applyBorder="1"/>
    <xf numFmtId="0" fontId="0" fillId="0" borderId="0" xfId="1" applyNumberFormat="1" applyFont="1" applyFill="1" applyBorder="1"/>
    <xf numFmtId="2" fontId="0" fillId="0" borderId="0" xfId="1" applyNumberFormat="1" applyFont="1" applyFill="1" applyBorder="1" applyAlignment="1">
      <alignment horizontal="center"/>
    </xf>
    <xf numFmtId="165" fontId="0" fillId="0" borderId="0" xfId="1" applyNumberFormat="1" applyFont="1" applyFill="1" applyBorder="1"/>
    <xf numFmtId="0" fontId="1" fillId="0" borderId="0" xfId="0" applyFont="1"/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4" fontId="0" fillId="0" borderId="0" xfId="0" applyNumberFormat="1"/>
    <xf numFmtId="164" fontId="6" fillId="0" borderId="1" xfId="0" applyNumberFormat="1" applyFont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left" vertical="center"/>
    </xf>
    <xf numFmtId="164" fontId="7" fillId="3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4">
    <cellStyle name="Normal" xfId="0" builtinId="0"/>
    <cellStyle name="Normal 2" xfId="2" xr:uid="{83303842-9C25-4C4A-B97F-6B3C5C19EE0C}"/>
    <cellStyle name="Normal 3" xfId="3" xr:uid="{38344ACA-6710-4862-A3C9-2FD3CEC117E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59190-A96D-4C3B-AF3C-5110254B67B0}">
  <dimension ref="B1:AR65"/>
  <sheetViews>
    <sheetView zoomScale="80" zoomScaleNormal="80" workbookViewId="0">
      <selection activeCell="C4" sqref="C4"/>
    </sheetView>
  </sheetViews>
  <sheetFormatPr defaultRowHeight="14.4" x14ac:dyDescent="0.55000000000000004"/>
  <cols>
    <col min="1" max="1" width="25.734375" customWidth="1"/>
    <col min="2" max="2" width="28.3125" bestFit="1" customWidth="1"/>
    <col min="3" max="3" width="32.26171875" bestFit="1" customWidth="1"/>
    <col min="4" max="4" width="13.26171875" customWidth="1"/>
    <col min="5" max="5" width="15.83984375" customWidth="1"/>
    <col min="6" max="6" width="27.47265625" bestFit="1" customWidth="1"/>
    <col min="8" max="8" width="12.734375" style="7" customWidth="1"/>
    <col min="9" max="9" width="16.05078125" style="7" customWidth="1"/>
    <col min="10" max="10" width="19.3125" style="7" bestFit="1" customWidth="1"/>
    <col min="11" max="11" width="8.734375" style="7" customWidth="1"/>
    <col min="12" max="12" width="14.3125" style="7" bestFit="1" customWidth="1"/>
    <col min="13" max="13" width="12.83984375" style="7" bestFit="1" customWidth="1"/>
    <col min="14" max="14" width="40.20703125" style="7" bestFit="1" customWidth="1"/>
    <col min="15" max="15" width="12.68359375" style="7" customWidth="1"/>
    <col min="19" max="19" width="18" customWidth="1"/>
    <col min="20" max="21" width="15.734375" customWidth="1"/>
    <col min="22" max="22" width="14.7890625" customWidth="1"/>
  </cols>
  <sheetData>
    <row r="1" spans="2:15" s="5" customFormat="1" x14ac:dyDescent="0.55000000000000004">
      <c r="H1" s="19"/>
      <c r="I1" s="19"/>
      <c r="J1" s="19"/>
      <c r="K1" s="19"/>
      <c r="L1" s="19"/>
      <c r="M1" s="19"/>
      <c r="N1" s="19"/>
      <c r="O1" s="19"/>
    </row>
    <row r="2" spans="2:15" s="5" customFormat="1" x14ac:dyDescent="0.55000000000000004">
      <c r="B2" s="8"/>
      <c r="F2" s="32" t="s">
        <v>29</v>
      </c>
      <c r="G2" s="32"/>
      <c r="H2" s="32"/>
      <c r="I2" s="32"/>
      <c r="J2" s="32"/>
      <c r="K2" s="19"/>
      <c r="L2" s="19"/>
      <c r="M2" s="19"/>
      <c r="N2" s="19"/>
      <c r="O2" s="19"/>
    </row>
    <row r="3" spans="2:15" s="5" customFormat="1" x14ac:dyDescent="0.55000000000000004">
      <c r="B3" s="8" t="s">
        <v>0</v>
      </c>
      <c r="C3" s="5" t="s">
        <v>27</v>
      </c>
      <c r="F3" s="16"/>
      <c r="G3" s="22"/>
      <c r="H3" s="22"/>
      <c r="I3" s="22"/>
      <c r="L3" s="19"/>
      <c r="M3" s="19"/>
      <c r="N3" s="19"/>
      <c r="O3" s="19"/>
    </row>
    <row r="4" spans="2:15" s="5" customFormat="1" ht="43.2" x14ac:dyDescent="0.55000000000000004">
      <c r="B4" s="8"/>
      <c r="F4" s="33" t="s">
        <v>15</v>
      </c>
      <c r="G4" s="33" t="s">
        <v>7</v>
      </c>
      <c r="H4" s="20" t="s">
        <v>21</v>
      </c>
      <c r="I4" s="22" t="s">
        <v>16</v>
      </c>
      <c r="J4" s="5" t="s">
        <v>22</v>
      </c>
      <c r="K4" s="12" t="s">
        <v>23</v>
      </c>
      <c r="L4" s="5" t="s">
        <v>58</v>
      </c>
      <c r="M4" s="12" t="s">
        <v>59</v>
      </c>
      <c r="N4" s="19"/>
      <c r="O4" s="19"/>
    </row>
    <row r="5" spans="2:15" s="5" customFormat="1" x14ac:dyDescent="0.55000000000000004">
      <c r="B5" s="8" t="s">
        <v>1</v>
      </c>
      <c r="C5" s="5" t="s">
        <v>25</v>
      </c>
      <c r="F5" s="33"/>
      <c r="G5" s="33"/>
      <c r="H5" s="22" t="s">
        <v>17</v>
      </c>
      <c r="I5" s="22" t="s">
        <v>17</v>
      </c>
      <c r="K5" s="5" t="s">
        <v>24</v>
      </c>
      <c r="L5" s="19" t="s">
        <v>18</v>
      </c>
      <c r="M5" s="19" t="s">
        <v>24</v>
      </c>
      <c r="N5" s="19"/>
      <c r="O5" s="19"/>
    </row>
    <row r="6" spans="2:15" s="5" customFormat="1" x14ac:dyDescent="0.55000000000000004">
      <c r="B6" s="8" t="s">
        <v>2</v>
      </c>
      <c r="C6" s="5">
        <v>1</v>
      </c>
      <c r="F6" t="s">
        <v>30</v>
      </c>
      <c r="G6" s="23">
        <v>169</v>
      </c>
      <c r="H6">
        <v>5</v>
      </c>
      <c r="I6" s="25">
        <v>0.12</v>
      </c>
      <c r="J6" s="30">
        <v>15.464385827722026</v>
      </c>
      <c r="K6" s="5">
        <f>(J6*(H6+I6)/I6)/39.098</f>
        <v>16.875896345494393</v>
      </c>
      <c r="L6" s="28">
        <v>14.627888273248701</v>
      </c>
      <c r="M6" s="19">
        <f>(L6*(H6+I6)/I6)/39.098</f>
        <v>15.963047546983084</v>
      </c>
      <c r="N6" s="19"/>
      <c r="O6" s="19"/>
    </row>
    <row r="7" spans="2:15" s="5" customFormat="1" x14ac:dyDescent="0.55000000000000004">
      <c r="B7" s="8" t="s">
        <v>3</v>
      </c>
      <c r="C7" s="5" t="s">
        <v>26</v>
      </c>
      <c r="F7" t="s">
        <v>31</v>
      </c>
      <c r="G7" s="24">
        <v>170</v>
      </c>
      <c r="H7">
        <v>5</v>
      </c>
      <c r="I7">
        <v>1.2E-2</v>
      </c>
      <c r="J7" s="31">
        <v>12.4017475453493</v>
      </c>
      <c r="K7" s="5">
        <f>(J7*(H7+I7)/I7)/39.098</f>
        <v>132.48239188980403</v>
      </c>
      <c r="L7" s="28">
        <v>1.35523533491737</v>
      </c>
      <c r="M7" s="19">
        <f>(L7*(H7+0.12)/0.12)/39.098</f>
        <v>1.478934326303335</v>
      </c>
      <c r="N7" s="19" t="s">
        <v>60</v>
      </c>
      <c r="O7" s="19">
        <f>M7*(5+0.05)/0.05</f>
        <v>149.37236695663682</v>
      </c>
    </row>
    <row r="8" spans="2:15" s="5" customFormat="1" x14ac:dyDescent="0.55000000000000004">
      <c r="B8" s="8" t="s">
        <v>4</v>
      </c>
      <c r="C8" s="5">
        <v>15</v>
      </c>
      <c r="D8" s="5" t="s">
        <v>5</v>
      </c>
      <c r="F8" t="s">
        <v>32</v>
      </c>
      <c r="G8" s="23">
        <v>171</v>
      </c>
      <c r="H8">
        <v>5</v>
      </c>
      <c r="I8">
        <v>1.2E-2</v>
      </c>
      <c r="J8" s="30">
        <v>7.2235845088627864</v>
      </c>
      <c r="K8" s="5">
        <f t="shared" ref="K8:K12" si="0">(J8*(H8+I8)/I8)/39.098</f>
        <v>77.166363067207783</v>
      </c>
      <c r="M8" s="19"/>
      <c r="N8" s="19"/>
      <c r="O8" s="19"/>
    </row>
    <row r="9" spans="2:15" s="5" customFormat="1" x14ac:dyDescent="0.55000000000000004">
      <c r="B9" s="8" t="s">
        <v>6</v>
      </c>
      <c r="C9" s="5">
        <v>120</v>
      </c>
      <c r="D9" s="5" t="s">
        <v>5</v>
      </c>
      <c r="F9" t="s">
        <v>33</v>
      </c>
      <c r="G9" s="24">
        <v>172</v>
      </c>
      <c r="H9">
        <v>5</v>
      </c>
      <c r="I9">
        <v>1.2E-2</v>
      </c>
      <c r="J9" s="31">
        <v>9.5324738825330968</v>
      </c>
      <c r="K9" s="5">
        <f t="shared" si="0"/>
        <v>101.83120854275555</v>
      </c>
      <c r="L9" s="29">
        <v>1.16501603755067</v>
      </c>
      <c r="M9" s="19">
        <f>(L9*(H9+0.12)/0.12)/39.098</f>
        <v>1.2713527785435381</v>
      </c>
      <c r="N9" s="19" t="s">
        <v>61</v>
      </c>
      <c r="O9" s="19">
        <f t="shared" ref="O9" si="1">M9*(5+0.05)/0.05</f>
        <v>128.40663063289733</v>
      </c>
    </row>
    <row r="10" spans="2:15" s="5" customFormat="1" x14ac:dyDescent="0.55000000000000004">
      <c r="B10" s="8"/>
      <c r="F10" t="s">
        <v>34</v>
      </c>
      <c r="G10" s="23">
        <v>173</v>
      </c>
      <c r="H10">
        <v>5</v>
      </c>
      <c r="I10">
        <v>2.5000000000000001E-2</v>
      </c>
      <c r="J10" s="26">
        <v>1.9988561256905015</v>
      </c>
      <c r="K10" s="5">
        <f t="shared" si="0"/>
        <v>10.275975274024011</v>
      </c>
      <c r="M10" s="19"/>
      <c r="N10" s="19"/>
      <c r="O10" s="19"/>
    </row>
    <row r="11" spans="2:15" s="5" customFormat="1" x14ac:dyDescent="0.55000000000000004">
      <c r="B11" s="8" t="s">
        <v>8</v>
      </c>
      <c r="C11" s="5">
        <v>31.11</v>
      </c>
      <c r="D11" s="5" t="s">
        <v>9</v>
      </c>
      <c r="F11" t="s">
        <v>35</v>
      </c>
      <c r="G11" s="24">
        <v>174</v>
      </c>
      <c r="H11">
        <v>5</v>
      </c>
      <c r="I11">
        <v>2.5000000000000001E-2</v>
      </c>
      <c r="J11" s="27">
        <v>3.3963041014409256</v>
      </c>
      <c r="K11" s="5">
        <f t="shared" si="0"/>
        <v>17.460154595877693</v>
      </c>
      <c r="L11" s="19"/>
      <c r="M11" s="19"/>
      <c r="N11" s="34"/>
      <c r="O11" s="34"/>
    </row>
    <row r="12" spans="2:15" s="5" customFormat="1" x14ac:dyDescent="0.55000000000000004">
      <c r="B12" s="8" t="s">
        <v>10</v>
      </c>
      <c r="C12" s="5">
        <v>41.11</v>
      </c>
      <c r="D12" s="5" t="s">
        <v>9</v>
      </c>
      <c r="F12" t="s">
        <v>36</v>
      </c>
      <c r="G12" s="23">
        <v>175</v>
      </c>
      <c r="H12">
        <v>5</v>
      </c>
      <c r="I12">
        <v>2.5000000000000001E-2</v>
      </c>
      <c r="J12" s="27">
        <v>4.9343722520598492</v>
      </c>
      <c r="K12" s="5">
        <f t="shared" si="0"/>
        <v>25.367252101489328</v>
      </c>
      <c r="L12" s="19"/>
      <c r="M12" s="19"/>
      <c r="N12" s="19"/>
      <c r="O12" s="19"/>
    </row>
    <row r="13" spans="2:15" s="5" customFormat="1" x14ac:dyDescent="0.55000000000000004">
      <c r="B13" s="8" t="s">
        <v>11</v>
      </c>
      <c r="C13" s="5">
        <v>41.05</v>
      </c>
      <c r="D13" s="5" t="s">
        <v>9</v>
      </c>
      <c r="F13" t="s">
        <v>37</v>
      </c>
      <c r="G13" s="24">
        <v>176</v>
      </c>
      <c r="H13">
        <v>5</v>
      </c>
      <c r="I13">
        <v>2.5000000000000001E-2</v>
      </c>
      <c r="J13" s="26">
        <v>6.1988708305407663</v>
      </c>
      <c r="K13" s="5">
        <f t="shared" ref="K13:K19" si="2">(J13*(H13+I13)/I13)/39.098</f>
        <v>31.867948154347893</v>
      </c>
      <c r="L13" s="19"/>
      <c r="M13" s="19"/>
      <c r="N13" s="19"/>
      <c r="O13" s="19"/>
    </row>
    <row r="14" spans="2:15" s="5" customFormat="1" x14ac:dyDescent="0.55000000000000004">
      <c r="B14" s="8"/>
      <c r="F14" t="s">
        <v>38</v>
      </c>
      <c r="G14" s="23">
        <v>177</v>
      </c>
      <c r="H14">
        <v>5</v>
      </c>
      <c r="I14">
        <v>2.5000000000000001E-2</v>
      </c>
      <c r="J14" s="27">
        <v>8.77643570953982</v>
      </c>
      <c r="K14" s="5">
        <f t="shared" si="2"/>
        <v>45.119023418525344</v>
      </c>
      <c r="L14" s="19"/>
      <c r="M14" s="19"/>
      <c r="N14" s="19"/>
      <c r="O14" s="19"/>
    </row>
    <row r="15" spans="2:15" s="5" customFormat="1" x14ac:dyDescent="0.55000000000000004">
      <c r="B15" s="8" t="s">
        <v>12</v>
      </c>
      <c r="C15" s="5">
        <v>12.925000000000001</v>
      </c>
      <c r="D15" s="5" t="s">
        <v>13</v>
      </c>
      <c r="F15" t="s">
        <v>39</v>
      </c>
      <c r="G15" s="24">
        <v>178</v>
      </c>
      <c r="H15">
        <v>5</v>
      </c>
      <c r="I15">
        <v>2.5000000000000001E-2</v>
      </c>
      <c r="J15" s="26">
        <v>10.152265327282858</v>
      </c>
      <c r="K15" s="5">
        <f t="shared" si="2"/>
        <v>52.192064320012655</v>
      </c>
      <c r="L15" s="19"/>
      <c r="M15" s="19"/>
      <c r="N15" s="19"/>
      <c r="O15" s="19"/>
    </row>
    <row r="16" spans="2:15" s="5" customFormat="1" x14ac:dyDescent="0.55000000000000004">
      <c r="B16" s="8" t="s">
        <v>14</v>
      </c>
      <c r="C16" s="5">
        <v>60.573999999999998</v>
      </c>
      <c r="D16" s="5" t="s">
        <v>13</v>
      </c>
      <c r="F16" t="s">
        <v>40</v>
      </c>
      <c r="G16" s="23">
        <v>179</v>
      </c>
      <c r="H16">
        <v>5</v>
      </c>
      <c r="I16">
        <v>2.5000000000000001E-2</v>
      </c>
      <c r="J16" s="27">
        <v>10.892020578672961</v>
      </c>
      <c r="K16" s="5">
        <f t="shared" si="2"/>
        <v>55.995092749329004</v>
      </c>
      <c r="L16" s="19"/>
      <c r="M16" s="19"/>
      <c r="N16" s="19"/>
      <c r="O16" s="19"/>
    </row>
    <row r="17" spans="2:21" s="5" customFormat="1" x14ac:dyDescent="0.55000000000000004">
      <c r="B17" s="8"/>
      <c r="F17" t="s">
        <v>41</v>
      </c>
      <c r="G17" s="24">
        <v>180</v>
      </c>
      <c r="H17">
        <v>5</v>
      </c>
      <c r="I17">
        <v>2.5000000000000001E-2</v>
      </c>
      <c r="J17" s="26">
        <v>12.903009519645257</v>
      </c>
      <c r="K17" s="5">
        <f t="shared" si="2"/>
        <v>66.333441952240435</v>
      </c>
      <c r="L17" s="19"/>
      <c r="M17" s="19"/>
      <c r="N17" s="19"/>
      <c r="O17" s="19"/>
    </row>
    <row r="18" spans="2:21" s="5" customFormat="1" ht="13.9" customHeight="1" x14ac:dyDescent="0.55000000000000004">
      <c r="B18" s="21" t="s">
        <v>19</v>
      </c>
      <c r="C18" s="16">
        <v>2.79</v>
      </c>
      <c r="D18" s="9" t="s">
        <v>9</v>
      </c>
      <c r="F18" t="s">
        <v>42</v>
      </c>
      <c r="G18" s="23">
        <v>181</v>
      </c>
      <c r="H18">
        <v>5</v>
      </c>
      <c r="I18">
        <v>2.5000000000000001E-2</v>
      </c>
      <c r="J18" s="27">
        <v>13.286788087487148</v>
      </c>
      <c r="K18" s="5">
        <f t="shared" si="2"/>
        <v>68.306419908560983</v>
      </c>
      <c r="L18" s="19"/>
      <c r="M18" s="19"/>
      <c r="N18" s="19"/>
      <c r="O18" s="19"/>
    </row>
    <row r="19" spans="2:21" s="12" customFormat="1" ht="13.9" customHeight="1" x14ac:dyDescent="0.55000000000000004">
      <c r="B19" s="21" t="s">
        <v>20</v>
      </c>
      <c r="C19" s="16">
        <v>3.58</v>
      </c>
      <c r="D19" s="9" t="s">
        <v>9</v>
      </c>
      <c r="F19" t="s">
        <v>43</v>
      </c>
      <c r="G19" s="24">
        <v>182</v>
      </c>
      <c r="H19">
        <v>5</v>
      </c>
      <c r="I19">
        <v>2.5000000000000001E-2</v>
      </c>
      <c r="J19" s="26">
        <v>14.899454892597049</v>
      </c>
      <c r="K19" s="5">
        <f t="shared" si="2"/>
        <v>76.597023720190478</v>
      </c>
    </row>
    <row r="20" spans="2:21" s="5" customFormat="1" ht="13.9" customHeight="1" x14ac:dyDescent="0.55000000000000004">
      <c r="L20" s="13"/>
      <c r="M20" s="13"/>
      <c r="O20" s="19"/>
      <c r="P20" s="19"/>
      <c r="Q20" s="19"/>
      <c r="R20" s="19"/>
      <c r="T20" s="19"/>
      <c r="U20" s="19"/>
    </row>
    <row r="21" spans="2:21" s="5" customFormat="1" ht="13.9" customHeight="1" x14ac:dyDescent="0.55000000000000004">
      <c r="L21" s="19"/>
      <c r="M21" s="13"/>
      <c r="O21" s="19"/>
      <c r="P21" s="19"/>
      <c r="Q21" s="19"/>
      <c r="R21" s="19"/>
      <c r="T21" s="19"/>
      <c r="U21" s="19"/>
    </row>
    <row r="22" spans="2:21" s="5" customFormat="1" ht="13.9" customHeight="1" x14ac:dyDescent="0.55000000000000004">
      <c r="J22" s="26">
        <v>14.387553145029997</v>
      </c>
      <c r="L22" s="19"/>
      <c r="M22" s="11"/>
      <c r="O22" s="19"/>
      <c r="P22" s="9"/>
      <c r="Q22" s="19"/>
      <c r="R22" s="19"/>
      <c r="S22" s="10"/>
      <c r="T22" s="14"/>
      <c r="U22" s="10"/>
    </row>
    <row r="23" spans="2:21" s="5" customFormat="1" ht="13.9" customHeight="1" x14ac:dyDescent="0.55000000000000004">
      <c r="J23" s="27">
        <v>13.233570749153039</v>
      </c>
      <c r="L23" s="19"/>
      <c r="M23" s="11"/>
      <c r="O23" s="19"/>
      <c r="P23" s="9"/>
      <c r="Q23" s="19"/>
      <c r="R23" s="19"/>
      <c r="S23" s="10"/>
      <c r="T23" s="14"/>
      <c r="U23" s="10"/>
    </row>
    <row r="24" spans="2:21" s="5" customFormat="1" ht="13.9" customHeight="1" x14ac:dyDescent="0.55000000000000004">
      <c r="J24" s="26">
        <v>7.7934142062624217</v>
      </c>
      <c r="L24" s="19"/>
      <c r="M24" s="11"/>
      <c r="O24" s="19"/>
      <c r="P24" s="9"/>
      <c r="Q24" s="19"/>
      <c r="R24" s="19"/>
      <c r="S24" s="10"/>
      <c r="T24" s="14"/>
      <c r="U24" s="10"/>
    </row>
    <row r="25" spans="2:21" s="5" customFormat="1" ht="13.9" customHeight="1" x14ac:dyDescent="0.55000000000000004">
      <c r="J25" s="27">
        <v>10.768623822847252</v>
      </c>
      <c r="L25" s="19"/>
      <c r="M25" s="11"/>
      <c r="O25" s="19"/>
      <c r="P25" s="9"/>
      <c r="Q25" s="19"/>
      <c r="R25" s="19"/>
      <c r="S25" s="10"/>
      <c r="T25" s="14"/>
      <c r="U25" s="10"/>
    </row>
    <row r="26" spans="2:21" s="5" customFormat="1" ht="13.9" customHeight="1" x14ac:dyDescent="0.55000000000000004">
      <c r="L26" s="19"/>
      <c r="M26" s="11"/>
      <c r="O26" s="19"/>
      <c r="P26" s="9"/>
      <c r="Q26" s="19"/>
      <c r="R26" s="19"/>
      <c r="S26" s="10"/>
      <c r="T26" s="14"/>
      <c r="U26" s="10"/>
    </row>
    <row r="27" spans="2:21" s="5" customFormat="1" ht="13.9" customHeight="1" x14ac:dyDescent="0.55000000000000004">
      <c r="L27" s="19"/>
      <c r="M27" s="11"/>
      <c r="O27" s="19"/>
      <c r="P27" s="9"/>
      <c r="Q27" s="19"/>
      <c r="R27" s="19"/>
      <c r="S27" s="10"/>
      <c r="T27" s="14"/>
      <c r="U27" s="10"/>
    </row>
    <row r="28" spans="2:21" s="5" customFormat="1" ht="13.9" customHeight="1" x14ac:dyDescent="0.55000000000000004">
      <c r="L28" s="19"/>
      <c r="M28" s="11"/>
      <c r="O28" s="19"/>
      <c r="P28" s="9"/>
      <c r="Q28" s="19"/>
      <c r="R28" s="19"/>
      <c r="S28" s="10"/>
      <c r="T28" s="14"/>
      <c r="U28" s="10"/>
    </row>
    <row r="29" spans="2:21" s="5" customFormat="1" ht="13.9" customHeight="1" x14ac:dyDescent="0.55000000000000004">
      <c r="L29" s="19"/>
      <c r="M29" s="11"/>
      <c r="O29" s="19"/>
      <c r="P29" s="9"/>
      <c r="Q29" s="19"/>
      <c r="R29" s="19"/>
      <c r="S29" s="10"/>
      <c r="T29" s="14"/>
      <c r="U29" s="10"/>
    </row>
    <row r="30" spans="2:21" s="5" customFormat="1" x14ac:dyDescent="0.55000000000000004">
      <c r="H30" s="19"/>
      <c r="L30" s="19"/>
      <c r="M30" s="11"/>
      <c r="O30" s="19"/>
      <c r="P30" s="9"/>
      <c r="Q30" s="19"/>
      <c r="R30" s="19"/>
      <c r="S30" s="10"/>
      <c r="T30" s="14"/>
      <c r="U30" s="10"/>
    </row>
    <row r="31" spans="2:21" s="5" customFormat="1" x14ac:dyDescent="0.55000000000000004">
      <c r="H31" s="19"/>
      <c r="L31" s="19"/>
      <c r="M31" s="11"/>
      <c r="O31" s="19"/>
      <c r="P31" s="9"/>
      <c r="Q31" s="19"/>
      <c r="R31" s="19"/>
      <c r="S31" s="10"/>
      <c r="T31" s="14"/>
      <c r="U31" s="10"/>
    </row>
    <row r="32" spans="2:21" s="5" customFormat="1" x14ac:dyDescent="0.55000000000000004">
      <c r="H32" s="19"/>
      <c r="L32" s="19"/>
      <c r="M32" s="11"/>
      <c r="O32" s="19"/>
      <c r="P32" s="9"/>
      <c r="Q32" s="19"/>
      <c r="R32" s="19"/>
      <c r="S32" s="10"/>
      <c r="T32" s="14"/>
      <c r="U32" s="10"/>
    </row>
    <row r="33" spans="2:44" s="5" customFormat="1" x14ac:dyDescent="0.55000000000000004">
      <c r="H33" s="19"/>
      <c r="L33" s="19"/>
      <c r="M33" s="11"/>
      <c r="O33" s="19"/>
      <c r="P33" s="9"/>
      <c r="Q33" s="19"/>
      <c r="R33" s="19"/>
      <c r="S33" s="10"/>
      <c r="T33" s="14"/>
      <c r="U33" s="10"/>
    </row>
    <row r="34" spans="2:44" s="5" customFormat="1" x14ac:dyDescent="0.55000000000000004">
      <c r="H34" s="19"/>
      <c r="L34" s="19"/>
      <c r="M34" s="11"/>
      <c r="O34" s="19"/>
      <c r="P34" s="9"/>
      <c r="Q34" s="19"/>
      <c r="R34" s="19"/>
      <c r="S34" s="10"/>
      <c r="T34" s="14"/>
      <c r="U34" s="10"/>
    </row>
    <row r="35" spans="2:44" s="5" customFormat="1" x14ac:dyDescent="0.55000000000000004">
      <c r="B35" s="16"/>
      <c r="C35" s="19"/>
      <c r="D35" s="19"/>
      <c r="E35" s="15"/>
      <c r="F35" s="17"/>
      <c r="H35" s="19"/>
      <c r="I35" s="9"/>
      <c r="K35" s="19"/>
      <c r="L35" s="19"/>
      <c r="M35" s="11"/>
      <c r="O35" s="19"/>
      <c r="P35" s="9"/>
      <c r="Q35" s="19"/>
      <c r="R35" s="19"/>
      <c r="S35" s="10"/>
      <c r="T35" s="14"/>
      <c r="U35" s="10"/>
    </row>
    <row r="36" spans="2:44" s="5" customFormat="1" x14ac:dyDescent="0.55000000000000004">
      <c r="B36" s="16"/>
      <c r="C36" s="19"/>
      <c r="D36" s="19"/>
      <c r="E36" s="15"/>
      <c r="F36" s="17"/>
      <c r="H36" s="19"/>
      <c r="I36" s="11"/>
    </row>
    <row r="37" spans="2:44" s="5" customFormat="1" x14ac:dyDescent="0.55000000000000004">
      <c r="B37" s="16"/>
      <c r="C37" s="19"/>
      <c r="D37" s="19"/>
      <c r="E37" s="15"/>
      <c r="F37" s="17"/>
      <c r="H37" s="19"/>
      <c r="I37" s="9"/>
      <c r="J37" s="19"/>
      <c r="K37" s="19"/>
      <c r="L37" s="9"/>
      <c r="M37" s="10"/>
      <c r="N37" s="19"/>
      <c r="O37" s="11"/>
    </row>
    <row r="38" spans="2:44" s="5" customFormat="1" x14ac:dyDescent="0.55000000000000004">
      <c r="B38" s="16"/>
      <c r="C38" s="19"/>
      <c r="D38" s="19"/>
      <c r="E38" s="15"/>
      <c r="F38" s="17"/>
      <c r="I38" s="9"/>
      <c r="J38" s="19"/>
      <c r="K38" s="19"/>
      <c r="L38" s="9"/>
      <c r="M38" s="10"/>
      <c r="N38" s="19"/>
      <c r="O38" s="11"/>
    </row>
    <row r="39" spans="2:44" s="5" customFormat="1" x14ac:dyDescent="0.55000000000000004">
      <c r="B39" s="19"/>
      <c r="C39" s="19"/>
      <c r="D39" s="19"/>
      <c r="E39" s="19"/>
      <c r="F39" s="15"/>
      <c r="I39" s="9"/>
      <c r="J39" s="19"/>
      <c r="K39" s="19"/>
      <c r="L39" s="9"/>
      <c r="M39" s="10"/>
      <c r="N39" s="19"/>
      <c r="O39" s="11"/>
    </row>
    <row r="40" spans="2:44" s="5" customFormat="1" x14ac:dyDescent="0.55000000000000004">
      <c r="C40" s="8"/>
      <c r="E40" s="8"/>
      <c r="F40" s="18"/>
      <c r="H40" s="19"/>
      <c r="I40" s="19"/>
      <c r="J40" s="19"/>
      <c r="K40" s="19"/>
      <c r="L40" s="19"/>
      <c r="M40" s="6"/>
      <c r="N40" s="19"/>
      <c r="O40" s="19"/>
    </row>
    <row r="41" spans="2:44" s="5" customFormat="1" x14ac:dyDescent="0.55000000000000004">
      <c r="B41" s="8"/>
      <c r="H41" s="19"/>
      <c r="I41" s="19"/>
      <c r="J41" s="19"/>
      <c r="K41" s="19"/>
      <c r="L41" s="19"/>
      <c r="M41" s="6"/>
      <c r="N41" s="19"/>
      <c r="O41" s="19"/>
    </row>
    <row r="42" spans="2:44" x14ac:dyDescent="0.55000000000000004">
      <c r="B42" s="8"/>
      <c r="C42" s="5"/>
      <c r="D42" s="5"/>
      <c r="E42" s="5"/>
      <c r="H42" s="19"/>
    </row>
    <row r="43" spans="2:44" x14ac:dyDescent="0.55000000000000004">
      <c r="B43" s="8"/>
      <c r="C43" s="5"/>
      <c r="D43" s="5"/>
      <c r="E43" s="5"/>
    </row>
    <row r="45" spans="2:44" s="5" customFormat="1" x14ac:dyDescent="0.55000000000000004">
      <c r="H45" s="19"/>
      <c r="I45" s="19"/>
      <c r="J45" s="19"/>
      <c r="K45" s="19"/>
      <c r="L45" s="19"/>
      <c r="M45" s="19"/>
      <c r="N45" s="19"/>
      <c r="O45" s="19"/>
    </row>
    <row r="46" spans="2:44" s="5" customFormat="1" x14ac:dyDescent="0.55000000000000004">
      <c r="B46" s="8"/>
      <c r="H46" s="19"/>
      <c r="I46" s="19"/>
      <c r="J46" s="19"/>
      <c r="K46" s="19"/>
      <c r="L46" s="19"/>
      <c r="M46" s="19"/>
      <c r="N46" s="19"/>
      <c r="O46" s="19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2:44" s="5" customFormat="1" x14ac:dyDescent="0.55000000000000004">
      <c r="B47" s="8"/>
      <c r="H47" s="19"/>
      <c r="I47" s="19"/>
      <c r="J47" s="19"/>
      <c r="K47" s="19"/>
      <c r="L47" s="19"/>
      <c r="M47" s="19"/>
      <c r="N47" s="19"/>
      <c r="O47" s="19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2:44" s="5" customFormat="1" x14ac:dyDescent="0.55000000000000004">
      <c r="B48" s="8"/>
      <c r="H48" s="19"/>
      <c r="I48" s="19"/>
      <c r="J48" s="19"/>
      <c r="K48" s="19"/>
      <c r="L48" s="19"/>
      <c r="M48" s="19"/>
      <c r="N48" s="19"/>
      <c r="O48" s="19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2:44" s="5" customFormat="1" x14ac:dyDescent="0.55000000000000004">
      <c r="B49" s="8"/>
      <c r="H49" s="19"/>
      <c r="I49" s="19"/>
      <c r="J49" s="19"/>
      <c r="K49" s="1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2:44" s="5" customFormat="1" x14ac:dyDescent="0.55000000000000004">
      <c r="B50" s="8"/>
      <c r="H50" s="19"/>
      <c r="I50" s="19"/>
      <c r="J50" s="19"/>
      <c r="K50" s="19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2:44" s="5" customFormat="1" x14ac:dyDescent="0.55000000000000004">
      <c r="B51" s="8"/>
      <c r="H51" s="19"/>
      <c r="I51" s="19"/>
      <c r="J51" s="19"/>
      <c r="K51" s="19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2:44" s="5" customFormat="1" x14ac:dyDescent="0.55000000000000004">
      <c r="B52" s="8"/>
      <c r="H52" s="19"/>
      <c r="I52" s="19"/>
      <c r="J52" s="19"/>
      <c r="K52" s="19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2:44" s="5" customFormat="1" x14ac:dyDescent="0.55000000000000004">
      <c r="B53" s="8"/>
      <c r="H53" s="19"/>
      <c r="I53" s="19"/>
      <c r="J53" s="19"/>
      <c r="K53" s="19"/>
      <c r="AE53" s="1"/>
      <c r="AF53" s="2"/>
      <c r="AG53" s="2"/>
      <c r="AH53"/>
      <c r="AI53"/>
      <c r="AJ53"/>
      <c r="AK53"/>
      <c r="AL53"/>
      <c r="AM53"/>
      <c r="AN53"/>
      <c r="AO53"/>
      <c r="AP53"/>
      <c r="AQ53"/>
      <c r="AR53"/>
    </row>
    <row r="54" spans="2:44" s="5" customFormat="1" x14ac:dyDescent="0.55000000000000004">
      <c r="B54" s="8"/>
      <c r="H54" s="19"/>
      <c r="I54" s="19"/>
      <c r="J54" s="19"/>
      <c r="K54" s="19"/>
      <c r="AE54" s="1"/>
      <c r="AF54" s="2"/>
      <c r="AG54" s="2"/>
      <c r="AH54"/>
      <c r="AI54"/>
      <c r="AJ54"/>
      <c r="AK54"/>
      <c r="AL54"/>
      <c r="AM54"/>
      <c r="AN54"/>
      <c r="AO54"/>
      <c r="AP54"/>
      <c r="AQ54"/>
      <c r="AR54"/>
    </row>
    <row r="55" spans="2:44" s="5" customFormat="1" x14ac:dyDescent="0.55000000000000004">
      <c r="B55" s="8"/>
      <c r="H55" s="19"/>
      <c r="I55" s="19"/>
      <c r="J55" s="19"/>
      <c r="K55" s="19"/>
      <c r="AE55" s="1"/>
      <c r="AF55" s="3"/>
      <c r="AG55" s="3"/>
      <c r="AH55"/>
      <c r="AI55" s="4"/>
      <c r="AJ55" s="4"/>
      <c r="AK55" s="1"/>
      <c r="AL55" s="1"/>
      <c r="AM55"/>
      <c r="AN55"/>
      <c r="AO55"/>
      <c r="AP55"/>
      <c r="AQ55"/>
      <c r="AR55"/>
    </row>
    <row r="56" spans="2:44" s="5" customFormat="1" x14ac:dyDescent="0.55000000000000004">
      <c r="B56" s="8"/>
      <c r="H56" s="19"/>
      <c r="I56" s="19"/>
      <c r="J56" s="19"/>
      <c r="K56" s="19"/>
      <c r="AE56" s="1"/>
      <c r="AF56" s="3"/>
      <c r="AG56" s="3"/>
      <c r="AH56"/>
      <c r="AI56" s="4"/>
      <c r="AJ56" s="4"/>
      <c r="AK56" s="1"/>
      <c r="AL56" s="1"/>
      <c r="AM56"/>
      <c r="AN56"/>
      <c r="AO56"/>
      <c r="AP56"/>
      <c r="AQ56"/>
      <c r="AR56"/>
    </row>
    <row r="57" spans="2:44" s="5" customFormat="1" x14ac:dyDescent="0.55000000000000004">
      <c r="B57" s="8"/>
      <c r="H57" s="19"/>
      <c r="I57" s="19"/>
      <c r="J57" s="19"/>
      <c r="K57" s="19"/>
      <c r="AE57" s="1"/>
      <c r="AF57" s="3"/>
      <c r="AG57" s="3"/>
      <c r="AH57"/>
      <c r="AI57" s="4"/>
      <c r="AJ57" s="4"/>
      <c r="AK57" s="1"/>
      <c r="AL57" s="1"/>
      <c r="AM57"/>
      <c r="AN57"/>
      <c r="AO57"/>
      <c r="AP57"/>
      <c r="AQ57"/>
      <c r="AR57"/>
    </row>
    <row r="58" spans="2:44" s="5" customFormat="1" x14ac:dyDescent="0.55000000000000004">
      <c r="B58" s="8"/>
      <c r="H58" s="19"/>
      <c r="I58" s="19"/>
      <c r="J58" s="19"/>
      <c r="K58" s="19"/>
      <c r="AE58" s="1"/>
      <c r="AF58" s="3"/>
      <c r="AG58" s="3"/>
      <c r="AH58"/>
      <c r="AI58" s="4"/>
      <c r="AJ58" s="4"/>
      <c r="AK58" s="1"/>
      <c r="AL58" s="1"/>
      <c r="AM58"/>
      <c r="AN58"/>
      <c r="AO58"/>
      <c r="AP58"/>
      <c r="AQ58"/>
      <c r="AR58"/>
    </row>
    <row r="59" spans="2:44" s="5" customFormat="1" x14ac:dyDescent="0.55000000000000004">
      <c r="B59" s="8"/>
      <c r="H59" s="19"/>
      <c r="I59" s="19"/>
      <c r="J59" s="19"/>
      <c r="K59" s="19"/>
      <c r="AE59" s="1"/>
      <c r="AF59" s="3"/>
      <c r="AG59" s="3"/>
      <c r="AH59"/>
      <c r="AI59" s="4"/>
      <c r="AJ59" s="4"/>
      <c r="AK59" s="1"/>
      <c r="AL59" s="1"/>
      <c r="AM59"/>
      <c r="AN59"/>
      <c r="AO59"/>
      <c r="AP59"/>
      <c r="AQ59"/>
      <c r="AR59"/>
    </row>
    <row r="60" spans="2:44" s="5" customFormat="1" x14ac:dyDescent="0.55000000000000004">
      <c r="B60" s="8"/>
      <c r="H60" s="19"/>
      <c r="I60" s="19"/>
      <c r="J60" s="19"/>
      <c r="K60" s="19"/>
      <c r="AE60" s="1"/>
      <c r="AF60" s="3"/>
      <c r="AG60" s="3"/>
      <c r="AH60"/>
      <c r="AI60" s="4"/>
      <c r="AJ60" s="4"/>
      <c r="AK60" s="1"/>
      <c r="AL60" s="1"/>
      <c r="AM60"/>
      <c r="AN60"/>
      <c r="AO60"/>
      <c r="AP60"/>
      <c r="AQ60"/>
      <c r="AR60"/>
    </row>
    <row r="61" spans="2:44" s="5" customFormat="1" x14ac:dyDescent="0.55000000000000004">
      <c r="B61" s="8"/>
      <c r="H61" s="19"/>
      <c r="I61" s="19"/>
      <c r="J61" s="19"/>
      <c r="K61" s="19"/>
      <c r="AE61" s="1"/>
      <c r="AF61" s="2"/>
      <c r="AG61" s="2"/>
      <c r="AH61"/>
      <c r="AI61"/>
      <c r="AJ61"/>
      <c r="AK61"/>
      <c r="AL61"/>
      <c r="AM61"/>
      <c r="AN61"/>
      <c r="AO61"/>
      <c r="AP61"/>
      <c r="AQ61"/>
      <c r="AR61"/>
    </row>
    <row r="62" spans="2:44" s="5" customFormat="1" x14ac:dyDescent="0.55000000000000004">
      <c r="B62" s="8"/>
      <c r="H62" s="19"/>
      <c r="I62" s="19"/>
      <c r="J62" s="19"/>
      <c r="K62" s="19"/>
      <c r="AE62" s="1"/>
      <c r="AF62" s="2"/>
      <c r="AG62" s="2"/>
      <c r="AH62"/>
      <c r="AI62"/>
      <c r="AJ62"/>
      <c r="AK62"/>
      <c r="AL62"/>
      <c r="AM62"/>
      <c r="AN62"/>
      <c r="AO62"/>
      <c r="AP62"/>
      <c r="AQ62"/>
      <c r="AR62"/>
    </row>
    <row r="63" spans="2:44" x14ac:dyDescent="0.55000000000000004">
      <c r="L63"/>
      <c r="M63"/>
      <c r="N63"/>
      <c r="O63"/>
    </row>
    <row r="64" spans="2:44" x14ac:dyDescent="0.55000000000000004">
      <c r="L64"/>
      <c r="M64"/>
      <c r="N64"/>
      <c r="O64"/>
    </row>
    <row r="65" spans="12:15" x14ac:dyDescent="0.55000000000000004">
      <c r="L65"/>
      <c r="M65"/>
      <c r="N65"/>
      <c r="O65"/>
    </row>
  </sheetData>
  <mergeCells count="4">
    <mergeCell ref="F2:J2"/>
    <mergeCell ref="F4:F5"/>
    <mergeCell ref="G4:G5"/>
    <mergeCell ref="N11:O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2A317-C9D3-48BD-838C-A4015CECEC79}">
  <dimension ref="B1:AN62"/>
  <sheetViews>
    <sheetView tabSelected="1" zoomScale="80" zoomScaleNormal="80" workbookViewId="0">
      <selection activeCell="K6" sqref="K6"/>
    </sheetView>
  </sheetViews>
  <sheetFormatPr defaultRowHeight="14.4" x14ac:dyDescent="0.55000000000000004"/>
  <cols>
    <col min="1" max="1" width="25.734375" customWidth="1"/>
    <col min="2" max="2" width="28.3125" bestFit="1" customWidth="1"/>
    <col min="3" max="3" width="30" bestFit="1" customWidth="1"/>
    <col min="4" max="4" width="13.26171875" customWidth="1"/>
    <col min="5" max="5" width="15.83984375" customWidth="1"/>
    <col min="6" max="6" width="27.47265625" bestFit="1" customWidth="1"/>
    <col min="8" max="8" width="12.734375" style="7" customWidth="1"/>
    <col min="9" max="9" width="16.05078125" style="7" customWidth="1"/>
    <col min="10" max="10" width="19.3125" style="7" bestFit="1" customWidth="1"/>
    <col min="11" max="11" width="8.734375" style="7" customWidth="1"/>
    <col min="15" max="15" width="18" customWidth="1"/>
    <col min="16" max="17" width="15.734375" customWidth="1"/>
    <col min="18" max="18" width="14.7890625" customWidth="1"/>
  </cols>
  <sheetData>
    <row r="1" spans="2:11" s="5" customFormat="1" x14ac:dyDescent="0.55000000000000004">
      <c r="H1" s="19"/>
      <c r="I1" s="19"/>
      <c r="J1" s="19"/>
      <c r="K1" s="19"/>
    </row>
    <row r="2" spans="2:11" s="5" customFormat="1" x14ac:dyDescent="0.55000000000000004">
      <c r="B2" s="8"/>
      <c r="F2" s="32" t="s">
        <v>29</v>
      </c>
      <c r="G2" s="32"/>
      <c r="H2" s="32"/>
      <c r="I2" s="32"/>
      <c r="J2" s="32"/>
      <c r="K2" s="19"/>
    </row>
    <row r="3" spans="2:11" s="5" customFormat="1" x14ac:dyDescent="0.55000000000000004">
      <c r="B3" s="8" t="s">
        <v>0</v>
      </c>
      <c r="C3" s="5" t="s">
        <v>28</v>
      </c>
      <c r="F3" s="16"/>
      <c r="G3" s="22"/>
      <c r="H3" s="22"/>
      <c r="I3" s="22"/>
    </row>
    <row r="4" spans="2:11" s="5" customFormat="1" ht="43.2" x14ac:dyDescent="0.55000000000000004">
      <c r="B4" s="8"/>
      <c r="F4" s="33" t="s">
        <v>15</v>
      </c>
      <c r="G4" s="33" t="s">
        <v>7</v>
      </c>
      <c r="H4" s="20" t="s">
        <v>21</v>
      </c>
      <c r="I4" s="22" t="s">
        <v>16</v>
      </c>
      <c r="J4" s="22" t="s">
        <v>22</v>
      </c>
      <c r="K4" s="12" t="s">
        <v>23</v>
      </c>
    </row>
    <row r="5" spans="2:11" s="5" customFormat="1" x14ac:dyDescent="0.55000000000000004">
      <c r="B5" s="8" t="s">
        <v>1</v>
      </c>
      <c r="C5" s="5" t="s">
        <v>25</v>
      </c>
      <c r="F5" s="33"/>
      <c r="G5" s="33"/>
      <c r="H5" s="22" t="s">
        <v>17</v>
      </c>
      <c r="I5" s="22" t="s">
        <v>17</v>
      </c>
      <c r="J5" s="22" t="s">
        <v>18</v>
      </c>
      <c r="K5" s="5" t="s">
        <v>24</v>
      </c>
    </row>
    <row r="6" spans="2:11" s="5" customFormat="1" x14ac:dyDescent="0.55000000000000004">
      <c r="B6" s="8" t="s">
        <v>2</v>
      </c>
      <c r="C6" s="5">
        <v>1</v>
      </c>
      <c r="F6" t="s">
        <v>44</v>
      </c>
      <c r="G6" s="23">
        <v>183</v>
      </c>
      <c r="H6">
        <v>5</v>
      </c>
      <c r="I6" s="25">
        <v>0.12</v>
      </c>
      <c r="J6" s="27">
        <v>1.1042073366104455</v>
      </c>
      <c r="K6" s="5">
        <f>(J6*(H6+I6)/I6)/39.098</f>
        <v>1.204993768531528</v>
      </c>
    </row>
    <row r="7" spans="2:11" s="5" customFormat="1" x14ac:dyDescent="0.55000000000000004">
      <c r="B7" s="8" t="s">
        <v>3</v>
      </c>
      <c r="C7" s="5" t="s">
        <v>26</v>
      </c>
      <c r="F7" t="s">
        <v>45</v>
      </c>
      <c r="G7" s="24">
        <v>184</v>
      </c>
      <c r="H7">
        <v>5</v>
      </c>
      <c r="I7" s="25">
        <v>0.12</v>
      </c>
      <c r="J7" s="26">
        <v>11.034807251843709</v>
      </c>
      <c r="K7" s="5">
        <f>(J7*(H7+I7)/I7)/39.098</f>
        <v>12.042008357085569</v>
      </c>
    </row>
    <row r="8" spans="2:11" s="5" customFormat="1" x14ac:dyDescent="0.55000000000000004">
      <c r="B8" s="8" t="s">
        <v>4</v>
      </c>
      <c r="C8" s="5">
        <v>1</v>
      </c>
      <c r="D8" s="5" t="s">
        <v>5</v>
      </c>
      <c r="F8" t="s">
        <v>46</v>
      </c>
      <c r="G8" s="23">
        <v>185</v>
      </c>
      <c r="H8">
        <v>5</v>
      </c>
      <c r="I8" s="25">
        <v>0.12</v>
      </c>
      <c r="J8" s="27">
        <v>5.617850651006127</v>
      </c>
      <c r="K8" s="5">
        <f t="shared" ref="K8:K19" si="0">(J8*(H8+I8)/I8)/39.098</f>
        <v>6.130619497406383</v>
      </c>
    </row>
    <row r="9" spans="2:11" s="5" customFormat="1" x14ac:dyDescent="0.55000000000000004">
      <c r="B9" s="8" t="s">
        <v>6</v>
      </c>
      <c r="C9" s="5">
        <v>12</v>
      </c>
      <c r="D9" s="5" t="s">
        <v>5</v>
      </c>
      <c r="F9" t="s">
        <v>47</v>
      </c>
      <c r="G9" s="24">
        <v>186</v>
      </c>
      <c r="H9">
        <v>5</v>
      </c>
      <c r="I9" s="25">
        <v>0.12</v>
      </c>
      <c r="J9" s="26">
        <v>9.6181072975744186</v>
      </c>
      <c r="K9" s="5">
        <f t="shared" si="0"/>
        <v>10.495999233460584</v>
      </c>
    </row>
    <row r="10" spans="2:11" s="5" customFormat="1" x14ac:dyDescent="0.55000000000000004">
      <c r="B10" s="8"/>
      <c r="F10" t="s">
        <v>48</v>
      </c>
      <c r="G10" s="23">
        <v>187</v>
      </c>
      <c r="H10">
        <v>5</v>
      </c>
      <c r="I10" s="25">
        <v>0.12</v>
      </c>
      <c r="J10" s="27">
        <v>0.89850679566835778</v>
      </c>
      <c r="K10" s="5">
        <f t="shared" si="0"/>
        <v>0.98051792798906834</v>
      </c>
    </row>
    <row r="11" spans="2:11" s="5" customFormat="1" x14ac:dyDescent="0.55000000000000004">
      <c r="B11" s="8" t="s">
        <v>8</v>
      </c>
      <c r="C11" s="5">
        <v>31.01</v>
      </c>
      <c r="D11" s="5" t="s">
        <v>9</v>
      </c>
      <c r="F11" t="s">
        <v>49</v>
      </c>
      <c r="G11" s="24">
        <v>188</v>
      </c>
      <c r="H11">
        <v>5</v>
      </c>
      <c r="I11" s="25">
        <v>0.12</v>
      </c>
      <c r="J11" s="26">
        <v>1.4585712760015221</v>
      </c>
      <c r="K11" s="5">
        <f t="shared" si="0"/>
        <v>1.5917022467320991</v>
      </c>
    </row>
    <row r="12" spans="2:11" s="5" customFormat="1" x14ac:dyDescent="0.55000000000000004">
      <c r="B12" s="8" t="s">
        <v>10</v>
      </c>
      <c r="C12" s="5">
        <v>41.01</v>
      </c>
      <c r="D12" s="5" t="s">
        <v>9</v>
      </c>
      <c r="F12" t="s">
        <v>50</v>
      </c>
      <c r="G12" s="23">
        <v>189</v>
      </c>
      <c r="H12">
        <v>5</v>
      </c>
      <c r="I12" s="25">
        <v>0.12</v>
      </c>
      <c r="J12" s="27">
        <v>2.3259708538252757</v>
      </c>
      <c r="K12" s="5">
        <f t="shared" si="0"/>
        <v>2.5382736481800885</v>
      </c>
    </row>
    <row r="13" spans="2:11" s="5" customFormat="1" x14ac:dyDescent="0.55000000000000004">
      <c r="B13" s="8" t="s">
        <v>11</v>
      </c>
      <c r="C13" s="5">
        <v>40.21</v>
      </c>
      <c r="D13" s="5" t="s">
        <v>9</v>
      </c>
      <c r="F13" t="s">
        <v>51</v>
      </c>
      <c r="G13" s="24">
        <v>190</v>
      </c>
      <c r="H13">
        <v>5</v>
      </c>
      <c r="I13" s="25">
        <v>0.12</v>
      </c>
      <c r="J13" s="26">
        <v>2.8035353371058247</v>
      </c>
      <c r="K13" s="5">
        <f t="shared" si="0"/>
        <v>3.0594277895676303</v>
      </c>
    </row>
    <row r="14" spans="2:11" s="5" customFormat="1" x14ac:dyDescent="0.55000000000000004">
      <c r="B14" s="8"/>
      <c r="F14" t="s">
        <v>52</v>
      </c>
      <c r="G14" s="23">
        <v>191</v>
      </c>
      <c r="H14">
        <v>5</v>
      </c>
      <c r="I14" s="25">
        <v>0.12</v>
      </c>
      <c r="J14" s="27">
        <v>3.3585849729520802</v>
      </c>
      <c r="K14" s="5">
        <f t="shared" si="0"/>
        <v>3.6651395343143411</v>
      </c>
    </row>
    <row r="15" spans="2:11" s="5" customFormat="1" x14ac:dyDescent="0.55000000000000004">
      <c r="B15" s="8" t="s">
        <v>12</v>
      </c>
      <c r="C15" s="16">
        <v>13.484</v>
      </c>
      <c r="D15" s="5" t="s">
        <v>13</v>
      </c>
      <c r="F15" t="s">
        <v>53</v>
      </c>
      <c r="G15" s="24">
        <v>192</v>
      </c>
      <c r="H15">
        <v>5</v>
      </c>
      <c r="I15" s="25">
        <v>0.12</v>
      </c>
      <c r="J15" s="26">
        <v>4.4759949286147789</v>
      </c>
      <c r="K15" s="5">
        <f t="shared" si="0"/>
        <v>4.8845409898433996</v>
      </c>
    </row>
    <row r="16" spans="2:11" s="5" customFormat="1" x14ac:dyDescent="0.55000000000000004">
      <c r="B16" s="8" t="s">
        <v>14</v>
      </c>
      <c r="C16" s="16">
        <v>57.058999999999997</v>
      </c>
      <c r="D16" s="5" t="s">
        <v>13</v>
      </c>
      <c r="F16" t="s">
        <v>54</v>
      </c>
      <c r="G16" s="23">
        <v>193</v>
      </c>
      <c r="H16">
        <v>5</v>
      </c>
      <c r="I16" s="25">
        <v>0.12</v>
      </c>
      <c r="J16" s="27">
        <v>5.121943490839592</v>
      </c>
      <c r="K16" s="5">
        <f t="shared" si="0"/>
        <v>5.5894484528404513</v>
      </c>
    </row>
    <row r="17" spans="2:17" s="5" customFormat="1" x14ac:dyDescent="0.55000000000000004">
      <c r="B17" s="8"/>
      <c r="F17" t="s">
        <v>55</v>
      </c>
      <c r="G17" s="24">
        <v>194</v>
      </c>
      <c r="H17">
        <v>5</v>
      </c>
      <c r="I17" s="25">
        <v>0.12</v>
      </c>
      <c r="J17" s="26">
        <v>4.9108566235749196</v>
      </c>
      <c r="K17" s="5">
        <f t="shared" si="0"/>
        <v>5.3590946494926399</v>
      </c>
    </row>
    <row r="18" spans="2:17" s="5" customFormat="1" ht="13.9" customHeight="1" x14ac:dyDescent="0.55000000000000004">
      <c r="B18" s="21" t="s">
        <v>19</v>
      </c>
      <c r="C18" s="5">
        <v>2.76</v>
      </c>
      <c r="D18" s="9" t="s">
        <v>9</v>
      </c>
      <c r="F18" t="s">
        <v>56</v>
      </c>
      <c r="G18" s="23">
        <v>195</v>
      </c>
      <c r="H18">
        <v>5</v>
      </c>
      <c r="I18" s="25">
        <v>0.12</v>
      </c>
      <c r="J18" s="26">
        <v>5.1417644321311107</v>
      </c>
      <c r="K18" s="5">
        <f t="shared" si="0"/>
        <v>5.6110785488838495</v>
      </c>
    </row>
    <row r="19" spans="2:17" s="12" customFormat="1" ht="13.9" customHeight="1" x14ac:dyDescent="0.55000000000000004">
      <c r="B19" s="21" t="s">
        <v>20</v>
      </c>
      <c r="C19" s="12">
        <v>3.49</v>
      </c>
      <c r="D19" s="9" t="s">
        <v>9</v>
      </c>
      <c r="F19" t="s">
        <v>57</v>
      </c>
      <c r="G19" s="24">
        <v>196</v>
      </c>
      <c r="H19">
        <v>5</v>
      </c>
      <c r="I19" s="25">
        <v>0.12</v>
      </c>
      <c r="J19" s="27">
        <v>5.8539527359499308</v>
      </c>
      <c r="K19" s="5">
        <f t="shared" si="0"/>
        <v>6.3882717803262841</v>
      </c>
    </row>
    <row r="20" spans="2:17" s="5" customFormat="1" ht="13.9" customHeight="1" x14ac:dyDescent="0.55000000000000004">
      <c r="L20" s="19"/>
      <c r="M20" s="19"/>
      <c r="N20" s="19"/>
      <c r="P20" s="19"/>
      <c r="Q20" s="19"/>
    </row>
    <row r="21" spans="2:17" s="5" customFormat="1" ht="13.9" customHeight="1" x14ac:dyDescent="0.55000000000000004">
      <c r="L21" s="19"/>
      <c r="M21" s="19"/>
      <c r="N21" s="19"/>
      <c r="P21" s="19"/>
      <c r="Q21" s="19"/>
    </row>
    <row r="22" spans="2:17" s="5" customFormat="1" ht="13.9" customHeight="1" x14ac:dyDescent="0.55000000000000004">
      <c r="L22" s="9"/>
      <c r="M22" s="19"/>
      <c r="N22" s="19"/>
      <c r="O22" s="10"/>
      <c r="P22" s="14"/>
      <c r="Q22" s="10"/>
    </row>
    <row r="23" spans="2:17" s="5" customFormat="1" ht="13.9" customHeight="1" x14ac:dyDescent="0.55000000000000004">
      <c r="L23" s="9"/>
      <c r="M23" s="19"/>
      <c r="N23" s="19"/>
      <c r="O23" s="10"/>
      <c r="P23" s="14"/>
      <c r="Q23" s="10"/>
    </row>
    <row r="24" spans="2:17" s="5" customFormat="1" ht="13.9" customHeight="1" x14ac:dyDescent="0.55000000000000004">
      <c r="L24" s="9"/>
      <c r="M24" s="19"/>
      <c r="N24" s="19"/>
      <c r="O24" s="10"/>
      <c r="P24" s="14"/>
      <c r="Q24" s="10"/>
    </row>
    <row r="25" spans="2:17" s="5" customFormat="1" ht="13.9" customHeight="1" x14ac:dyDescent="0.55000000000000004">
      <c r="L25" s="9"/>
      <c r="M25" s="19"/>
      <c r="N25" s="19"/>
      <c r="O25" s="10"/>
      <c r="P25" s="14"/>
      <c r="Q25" s="10"/>
    </row>
    <row r="26" spans="2:17" s="5" customFormat="1" ht="13.9" customHeight="1" x14ac:dyDescent="0.55000000000000004">
      <c r="L26" s="9"/>
      <c r="M26" s="19"/>
      <c r="N26" s="19"/>
      <c r="O26" s="10"/>
      <c r="P26" s="14"/>
      <c r="Q26" s="10"/>
    </row>
    <row r="27" spans="2:17" s="5" customFormat="1" ht="13.9" customHeight="1" x14ac:dyDescent="0.55000000000000004">
      <c r="L27" s="9"/>
      <c r="M27" s="19"/>
      <c r="N27" s="19"/>
      <c r="O27" s="10"/>
      <c r="P27" s="14"/>
      <c r="Q27" s="10"/>
    </row>
    <row r="28" spans="2:17" s="5" customFormat="1" ht="13.9" customHeight="1" x14ac:dyDescent="0.55000000000000004">
      <c r="L28" s="9"/>
      <c r="M28" s="19"/>
      <c r="N28" s="19"/>
      <c r="O28" s="10"/>
      <c r="P28" s="14"/>
      <c r="Q28" s="10"/>
    </row>
    <row r="29" spans="2:17" s="5" customFormat="1" ht="13.9" customHeight="1" x14ac:dyDescent="0.55000000000000004">
      <c r="L29" s="9"/>
      <c r="M29" s="19"/>
      <c r="N29" s="19"/>
      <c r="O29" s="10"/>
      <c r="P29" s="14"/>
      <c r="Q29" s="10"/>
    </row>
    <row r="30" spans="2:17" s="5" customFormat="1" x14ac:dyDescent="0.55000000000000004">
      <c r="H30" s="19"/>
      <c r="L30" s="9"/>
      <c r="M30" s="19"/>
      <c r="N30" s="19"/>
      <c r="O30" s="10"/>
      <c r="P30" s="14"/>
      <c r="Q30" s="10"/>
    </row>
    <row r="31" spans="2:17" s="5" customFormat="1" x14ac:dyDescent="0.55000000000000004">
      <c r="H31" s="19"/>
      <c r="L31" s="9"/>
      <c r="M31" s="19"/>
      <c r="N31" s="19"/>
      <c r="O31" s="10"/>
      <c r="P31" s="14"/>
      <c r="Q31" s="10"/>
    </row>
    <row r="32" spans="2:17" s="5" customFormat="1" x14ac:dyDescent="0.55000000000000004">
      <c r="H32" s="19"/>
      <c r="L32" s="9"/>
      <c r="M32" s="19"/>
      <c r="N32" s="19"/>
      <c r="O32" s="10"/>
      <c r="P32" s="14"/>
      <c r="Q32" s="10"/>
    </row>
    <row r="33" spans="2:40" s="5" customFormat="1" x14ac:dyDescent="0.55000000000000004">
      <c r="H33" s="19"/>
      <c r="L33" s="9"/>
      <c r="M33" s="19"/>
      <c r="N33" s="19"/>
      <c r="O33" s="10"/>
      <c r="P33" s="14"/>
      <c r="Q33" s="10"/>
    </row>
    <row r="34" spans="2:40" s="5" customFormat="1" x14ac:dyDescent="0.55000000000000004">
      <c r="H34" s="19"/>
      <c r="L34" s="9"/>
      <c r="M34" s="19"/>
      <c r="N34" s="19"/>
      <c r="O34" s="10"/>
      <c r="P34" s="14"/>
      <c r="Q34" s="10"/>
    </row>
    <row r="35" spans="2:40" s="5" customFormat="1" x14ac:dyDescent="0.55000000000000004">
      <c r="B35" s="16"/>
      <c r="C35" s="19"/>
      <c r="D35" s="19"/>
      <c r="E35" s="15"/>
      <c r="F35" s="17"/>
      <c r="H35" s="19"/>
      <c r="I35" s="9"/>
      <c r="K35" s="19"/>
      <c r="L35" s="9"/>
      <c r="M35" s="19"/>
      <c r="N35" s="19"/>
      <c r="O35" s="10"/>
      <c r="P35" s="14"/>
      <c r="Q35" s="10"/>
    </row>
    <row r="36" spans="2:40" s="5" customFormat="1" x14ac:dyDescent="0.55000000000000004">
      <c r="B36" s="16"/>
      <c r="C36" s="19"/>
      <c r="D36" s="19"/>
      <c r="E36" s="15"/>
      <c r="F36" s="17"/>
      <c r="H36" s="19"/>
      <c r="I36" s="11"/>
    </row>
    <row r="37" spans="2:40" s="5" customFormat="1" x14ac:dyDescent="0.55000000000000004">
      <c r="B37" s="16"/>
      <c r="C37" s="19"/>
      <c r="D37" s="19"/>
      <c r="E37" s="15"/>
      <c r="F37" s="17"/>
      <c r="H37" s="19"/>
      <c r="I37" s="9"/>
      <c r="J37" s="19"/>
      <c r="K37" s="19"/>
    </row>
    <row r="38" spans="2:40" s="5" customFormat="1" x14ac:dyDescent="0.55000000000000004">
      <c r="B38" s="16"/>
      <c r="C38" s="19"/>
      <c r="D38" s="19"/>
      <c r="E38" s="15"/>
      <c r="F38" s="17"/>
      <c r="I38" s="9"/>
      <c r="J38" s="19"/>
      <c r="K38" s="19"/>
    </row>
    <row r="39" spans="2:40" s="5" customFormat="1" x14ac:dyDescent="0.55000000000000004">
      <c r="B39" s="19"/>
      <c r="C39" s="19"/>
      <c r="D39" s="19"/>
      <c r="E39" s="19"/>
      <c r="F39" s="15"/>
      <c r="I39" s="9"/>
      <c r="J39" s="19"/>
      <c r="K39" s="19"/>
    </row>
    <row r="40" spans="2:40" s="5" customFormat="1" x14ac:dyDescent="0.55000000000000004">
      <c r="C40" s="8"/>
      <c r="E40" s="8"/>
      <c r="F40" s="18"/>
      <c r="H40" s="19"/>
      <c r="I40" s="19"/>
      <c r="J40" s="19"/>
      <c r="K40" s="19"/>
    </row>
    <row r="41" spans="2:40" s="5" customFormat="1" x14ac:dyDescent="0.55000000000000004">
      <c r="B41" s="8"/>
      <c r="H41" s="19"/>
      <c r="I41" s="19"/>
      <c r="J41" s="19"/>
      <c r="K41" s="19"/>
    </row>
    <row r="42" spans="2:40" x14ac:dyDescent="0.55000000000000004">
      <c r="B42" s="8"/>
      <c r="C42" s="5"/>
      <c r="D42" s="5"/>
      <c r="E42" s="5"/>
      <c r="H42" s="19"/>
    </row>
    <row r="43" spans="2:40" x14ac:dyDescent="0.55000000000000004">
      <c r="B43" s="8"/>
      <c r="C43" s="5"/>
      <c r="D43" s="5"/>
      <c r="E43" s="5"/>
    </row>
    <row r="45" spans="2:40" s="5" customFormat="1" x14ac:dyDescent="0.55000000000000004">
      <c r="H45" s="19"/>
      <c r="I45" s="19"/>
      <c r="J45" s="19"/>
      <c r="K45" s="19"/>
    </row>
    <row r="46" spans="2:40" s="5" customFormat="1" x14ac:dyDescent="0.55000000000000004">
      <c r="B46" s="8"/>
      <c r="H46" s="19"/>
      <c r="I46" s="19"/>
      <c r="J46" s="19"/>
      <c r="K46" s="19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</row>
    <row r="47" spans="2:40" s="5" customFormat="1" x14ac:dyDescent="0.55000000000000004">
      <c r="B47" s="8"/>
      <c r="H47" s="19"/>
      <c r="I47" s="19"/>
      <c r="J47" s="19"/>
      <c r="K47" s="19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</row>
    <row r="48" spans="2:40" s="5" customFormat="1" x14ac:dyDescent="0.55000000000000004">
      <c r="B48" s="8"/>
      <c r="H48" s="19"/>
      <c r="I48" s="19"/>
      <c r="J48" s="19"/>
      <c r="K48" s="19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</row>
    <row r="49" spans="2:40" s="5" customFormat="1" x14ac:dyDescent="0.55000000000000004">
      <c r="B49" s="8"/>
      <c r="H49" s="19"/>
      <c r="I49" s="19"/>
      <c r="J49" s="19"/>
      <c r="K49" s="1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</row>
    <row r="50" spans="2:40" s="5" customFormat="1" x14ac:dyDescent="0.55000000000000004">
      <c r="B50" s="8"/>
      <c r="H50" s="19"/>
      <c r="I50" s="19"/>
      <c r="J50" s="19"/>
      <c r="K50" s="19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</row>
    <row r="51" spans="2:40" s="5" customFormat="1" x14ac:dyDescent="0.55000000000000004">
      <c r="B51" s="8"/>
      <c r="H51" s="19"/>
      <c r="I51" s="19"/>
      <c r="J51" s="19"/>
      <c r="K51" s="19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</row>
    <row r="52" spans="2:40" s="5" customFormat="1" x14ac:dyDescent="0.55000000000000004">
      <c r="B52" s="8"/>
      <c r="H52" s="19"/>
      <c r="I52" s="19"/>
      <c r="J52" s="19"/>
      <c r="K52" s="19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</row>
    <row r="53" spans="2:40" s="5" customFormat="1" x14ac:dyDescent="0.55000000000000004">
      <c r="B53" s="8"/>
      <c r="H53" s="19"/>
      <c r="I53" s="19"/>
      <c r="J53" s="19"/>
      <c r="K53" s="19"/>
      <c r="AA53" s="1"/>
      <c r="AB53" s="2"/>
      <c r="AC53" s="2"/>
      <c r="AD53"/>
      <c r="AE53"/>
      <c r="AF53"/>
      <c r="AG53"/>
      <c r="AH53"/>
      <c r="AI53"/>
      <c r="AJ53"/>
      <c r="AK53"/>
      <c r="AL53"/>
      <c r="AM53"/>
      <c r="AN53"/>
    </row>
    <row r="54" spans="2:40" s="5" customFormat="1" x14ac:dyDescent="0.55000000000000004">
      <c r="B54" s="8"/>
      <c r="H54" s="19"/>
      <c r="I54" s="19"/>
      <c r="J54" s="19"/>
      <c r="K54" s="19"/>
      <c r="AA54" s="1"/>
      <c r="AB54" s="2"/>
      <c r="AC54" s="2"/>
      <c r="AD54"/>
      <c r="AE54"/>
      <c r="AF54"/>
      <c r="AG54"/>
      <c r="AH54"/>
      <c r="AI54"/>
      <c r="AJ54"/>
      <c r="AK54"/>
      <c r="AL54"/>
      <c r="AM54"/>
      <c r="AN54"/>
    </row>
    <row r="55" spans="2:40" s="5" customFormat="1" x14ac:dyDescent="0.55000000000000004">
      <c r="B55" s="8"/>
      <c r="H55" s="19"/>
      <c r="I55" s="19"/>
      <c r="J55" s="19"/>
      <c r="K55" s="19"/>
      <c r="AA55" s="1"/>
      <c r="AB55" s="3"/>
      <c r="AC55" s="3"/>
      <c r="AD55"/>
      <c r="AE55" s="4"/>
      <c r="AF55" s="4"/>
      <c r="AG55" s="1"/>
      <c r="AH55" s="1"/>
      <c r="AI55"/>
      <c r="AJ55"/>
      <c r="AK55"/>
      <c r="AL55"/>
      <c r="AM55"/>
      <c r="AN55"/>
    </row>
    <row r="56" spans="2:40" s="5" customFormat="1" x14ac:dyDescent="0.55000000000000004">
      <c r="B56" s="8"/>
      <c r="H56" s="19"/>
      <c r="I56" s="19"/>
      <c r="J56" s="19"/>
      <c r="K56" s="19"/>
      <c r="AA56" s="1"/>
      <c r="AB56" s="3"/>
      <c r="AC56" s="3"/>
      <c r="AD56"/>
      <c r="AE56" s="4"/>
      <c r="AF56" s="4"/>
      <c r="AG56" s="1"/>
      <c r="AH56" s="1"/>
      <c r="AI56"/>
      <c r="AJ56"/>
      <c r="AK56"/>
      <c r="AL56"/>
      <c r="AM56"/>
      <c r="AN56"/>
    </row>
    <row r="57" spans="2:40" s="5" customFormat="1" x14ac:dyDescent="0.55000000000000004">
      <c r="B57" s="8"/>
      <c r="H57" s="19"/>
      <c r="I57" s="19"/>
      <c r="J57" s="19"/>
      <c r="K57" s="19"/>
      <c r="AA57" s="1"/>
      <c r="AB57" s="3"/>
      <c r="AC57" s="3"/>
      <c r="AD57"/>
      <c r="AE57" s="4"/>
      <c r="AF57" s="4"/>
      <c r="AG57" s="1"/>
      <c r="AH57" s="1"/>
      <c r="AI57"/>
      <c r="AJ57"/>
      <c r="AK57"/>
      <c r="AL57"/>
      <c r="AM57"/>
      <c r="AN57"/>
    </row>
    <row r="58" spans="2:40" s="5" customFormat="1" x14ac:dyDescent="0.55000000000000004">
      <c r="B58" s="8"/>
      <c r="H58" s="19"/>
      <c r="I58" s="19"/>
      <c r="J58" s="19"/>
      <c r="K58" s="19"/>
      <c r="AA58" s="1"/>
      <c r="AB58" s="3"/>
      <c r="AC58" s="3"/>
      <c r="AD58"/>
      <c r="AE58" s="4"/>
      <c r="AF58" s="4"/>
      <c r="AG58" s="1"/>
      <c r="AH58" s="1"/>
      <c r="AI58"/>
      <c r="AJ58"/>
      <c r="AK58"/>
      <c r="AL58"/>
      <c r="AM58"/>
      <c r="AN58"/>
    </row>
    <row r="59" spans="2:40" s="5" customFormat="1" x14ac:dyDescent="0.55000000000000004">
      <c r="B59" s="8"/>
      <c r="H59" s="19"/>
      <c r="I59" s="19"/>
      <c r="J59" s="19"/>
      <c r="K59" s="19"/>
      <c r="AA59" s="1"/>
      <c r="AB59" s="3"/>
      <c r="AC59" s="3"/>
      <c r="AD59"/>
      <c r="AE59" s="4"/>
      <c r="AF59" s="4"/>
      <c r="AG59" s="1"/>
      <c r="AH59" s="1"/>
      <c r="AI59"/>
      <c r="AJ59"/>
      <c r="AK59"/>
      <c r="AL59"/>
      <c r="AM59"/>
      <c r="AN59"/>
    </row>
    <row r="60" spans="2:40" s="5" customFormat="1" x14ac:dyDescent="0.55000000000000004">
      <c r="B60" s="8"/>
      <c r="H60" s="19"/>
      <c r="I60" s="19"/>
      <c r="J60" s="19"/>
      <c r="K60" s="19"/>
      <c r="AA60" s="1"/>
      <c r="AB60" s="3"/>
      <c r="AC60" s="3"/>
      <c r="AD60"/>
      <c r="AE60" s="4"/>
      <c r="AF60" s="4"/>
      <c r="AG60" s="1"/>
      <c r="AH60" s="1"/>
      <c r="AI60"/>
      <c r="AJ60"/>
      <c r="AK60"/>
      <c r="AL60"/>
      <c r="AM60"/>
      <c r="AN60"/>
    </row>
    <row r="61" spans="2:40" s="5" customFormat="1" x14ac:dyDescent="0.55000000000000004">
      <c r="B61" s="8"/>
      <c r="H61" s="19"/>
      <c r="I61" s="19"/>
      <c r="J61" s="19"/>
      <c r="K61" s="19"/>
      <c r="AA61" s="1"/>
      <c r="AB61" s="2"/>
      <c r="AC61" s="2"/>
      <c r="AD61"/>
      <c r="AE61"/>
      <c r="AF61"/>
      <c r="AG61"/>
      <c r="AH61"/>
      <c r="AI61"/>
      <c r="AJ61"/>
      <c r="AK61"/>
      <c r="AL61"/>
      <c r="AM61"/>
      <c r="AN61"/>
    </row>
    <row r="62" spans="2:40" s="5" customFormat="1" x14ac:dyDescent="0.55000000000000004">
      <c r="B62" s="8"/>
      <c r="H62" s="19"/>
      <c r="I62" s="19"/>
      <c r="J62" s="19"/>
      <c r="K62" s="19"/>
      <c r="AA62" s="1"/>
      <c r="AB62" s="2"/>
      <c r="AC62" s="2"/>
      <c r="AD62"/>
      <c r="AE62"/>
      <c r="AF62"/>
      <c r="AG62"/>
      <c r="AH62"/>
      <c r="AI62"/>
      <c r="AJ62"/>
      <c r="AK62"/>
      <c r="AL62"/>
      <c r="AM62"/>
      <c r="AN62"/>
    </row>
  </sheetData>
  <mergeCells count="3">
    <mergeCell ref="F2:J2"/>
    <mergeCell ref="F4:F5"/>
    <mergeCell ref="G4:G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DAFE07-E5B5-4B8B-B134-C310003AF7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1.30.23Lag</vt:lpstr>
      <vt:lpstr>1.31.23Lag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Ouimet</dc:creator>
  <cp:lastModifiedBy>Laurianne Lair</cp:lastModifiedBy>
  <cp:lastPrinted>2021-02-02T13:00:26Z</cp:lastPrinted>
  <dcterms:created xsi:type="dcterms:W3CDTF">2021-01-27T16:25:52Z</dcterms:created>
  <dcterms:modified xsi:type="dcterms:W3CDTF">2024-09-09T21:29:46Z</dcterms:modified>
</cp:coreProperties>
</file>