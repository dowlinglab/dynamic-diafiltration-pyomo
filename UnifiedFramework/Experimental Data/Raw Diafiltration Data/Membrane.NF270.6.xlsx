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7d0e272dd2d022/Documents/Diafiltration/"/>
    </mc:Choice>
  </mc:AlternateContent>
  <xr:revisionPtr revIDLastSave="7" documentId="14_{970AA5EE-14E2-4FA3-87EC-4258AC60A4E0}" xr6:coauthVersionLast="47" xr6:coauthVersionMax="47" xr10:uidLastSave="{2D2C0FAF-8A56-49BE-9061-8B69D16C75DA}"/>
  <bookViews>
    <workbookView minimized="1" xWindow="3360" yWindow="3360" windowWidth="7950" windowHeight="6000" activeTab="1" xr2:uid="{33F3696A-A54A-4511-ACC6-6A12DB6C305D}"/>
  </bookViews>
  <sheets>
    <sheet name="1.30.23Lag" sheetId="28" r:id="rId1"/>
    <sheet name="2.1.23Lag" sheetId="2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29" l="1"/>
  <c r="M7" i="29"/>
  <c r="K7" i="28"/>
  <c r="K8" i="28"/>
  <c r="K9" i="28"/>
  <c r="K10" i="28"/>
  <c r="K11" i="28"/>
  <c r="K6" i="28"/>
  <c r="M7" i="28" l="1"/>
  <c r="O7" i="28" s="1"/>
  <c r="M9" i="28" l="1"/>
  <c r="O9" i="28" s="1"/>
  <c r="M6" i="28"/>
  <c r="M9" i="29" l="1"/>
  <c r="K7" i="29"/>
  <c r="K8" i="29"/>
  <c r="K9" i="29"/>
  <c r="K10" i="29"/>
  <c r="K11" i="29"/>
  <c r="K12" i="29"/>
  <c r="K13" i="29"/>
  <c r="K14" i="29"/>
  <c r="K15" i="29"/>
  <c r="K16" i="29"/>
  <c r="K17" i="29"/>
  <c r="K18" i="29"/>
  <c r="K19" i="29"/>
  <c r="K12" i="28"/>
  <c r="K13" i="28"/>
  <c r="K14" i="28"/>
  <c r="K15" i="28"/>
  <c r="K16" i="28"/>
  <c r="K17" i="28"/>
  <c r="K18" i="28"/>
  <c r="K19" i="2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8C4E28-ADD8-4DBD-BE3B-8ACAC39A3F88}" keepAlive="1" name="Query - Exp_01282021_NF90_5_F_SS_KCl" description="Connection to the 'Exp_01282021_NF90_5_F_SS_KCl' query in the workbook." type="5" refreshedVersion="6" background="1" saveData="1">
    <dbPr connection="Provider=Microsoft.Mashup.OleDb.1;Data Source=$Workbook$;Location=Exp_01282021_NF90_5_F_SS_KCl;Extended Properties=&quot;&quot;" command="SELECT * FROM [Exp_01282021_NF90_5_F_SS_KCl]"/>
  </connection>
  <connection id="2" xr16:uid="{3E7FC72F-F0DF-44D5-85D5-D4D8BA0E66EE}" keepAlive="1" name="Query - Exp_01282021_NF90_5_F_SS_KCl (2)" description="Connection to the 'Exp_01282021_NF90_5_F_SS_KCl (2)' query in the workbook." type="5" refreshedVersion="6" background="1" saveData="1">
    <dbPr connection="Provider=Microsoft.Mashup.OleDb.1;Data Source=$Workbook$;Location=&quot;Exp_01282021_NF90_5_F_SS_KCl (2)&quot;;Extended Properties=&quot;&quot;" command="SELECT * FROM [Exp_01282021_NF90_5_F_SS_KCl (2)]"/>
  </connection>
  <connection id="3" xr16:uid="{5CC62151-C0E8-4859-9E5E-17D0E5EC38DF}" keepAlive="1" name="Query - Exp_01302023_NF270_6_lag_D_SS_KCl" description="Connection to the 'Exp_01302023_NF270_6_lag_D_SS_KCl' query in the workbook." type="5" refreshedVersion="8" background="1" saveData="1">
    <dbPr connection="Provider=Microsoft.Mashup.OleDb.1;Data Source=$Workbook$;Location=Exp_01302023_NF270_6_lag_D_SS_KCl;Extended Properties=&quot;&quot;" command="SELECT * FROM [Exp_01302023_NF270_6_lag_D_SS_KCl]"/>
  </connection>
  <connection id="4" xr16:uid="{C0E53D12-F754-4629-9D3A-A5404FAF215F}" keepAlive="1" name="Query - Exp_01302023_NF270_6_lag_D_SS_KCl_FullCond" description="Connection to the 'Exp_01302023_NF270_6_lag_D_SS_KCl_FullCond' query in the workbook." type="5" refreshedVersion="0" background="1" saveData="1">
    <dbPr connection="Provider=Microsoft.Mashup.OleDb.1;Data Source=$Workbook$;Location=Exp_01302023_NF270_6_lag_D_SS_KCl_FullCond;Extended Properties=&quot;&quot;" command="SELECT * FROM [Exp_01302023_NF270_6_lag_D_SS_KCl_FullCond]"/>
  </connection>
  <connection id="5" xr16:uid="{6781912E-12CD-4338-9971-1FB73E365458}" keepAlive="1" name="Query - Exp_02042021_NF90_6_F_SS_KCl" description="Connection to the 'Exp_02042021_NF90_6_F_SS_KCl' query in the workbook." type="5" refreshedVersion="7" background="1" saveData="1">
    <dbPr connection="Provider=Microsoft.Mashup.OleDb.1;Data Source=$Workbook$;Location=Exp_02042021_NF90_6_F_SS_KCl;Extended Properties=&quot;&quot;" command="SELECT * FROM [Exp_02042021_NF90_6_F_SS_KCl]"/>
  </connection>
  <connection id="6" xr16:uid="{1CD7879D-5593-4C8A-82AF-F2782C6BCD47}" keepAlive="1" name="Query - Exp_02092021_NF90_5_F_SS_MgCl2" description="Connection to the 'Exp_02092021_NF90_5_F_SS_MgCl2' query in the workbook." type="5" refreshedVersion="6" background="1" saveData="1">
    <dbPr connection="Provider=Microsoft.Mashup.OleDb.1;Data Source=$Workbook$;Location=Exp_02092021_NF90_5_F_SS_MgCl2;Extended Properties=&quot;&quot;" command="SELECT * FROM [Exp_02092021_NF90_5_F_SS_MgCl2]"/>
  </connection>
  <connection id="7" xr16:uid="{7A399D69-7643-48BD-B759-ED318B6A81F4}" keepAlive="1" name="Query - Exp_05242021_NF90_6_2_F_SS_KCl" description="Connection to the 'Exp_05242021_NF90_6_2_F_SS_KCl' query in the workbook." type="5" refreshedVersion="7" background="1" saveData="1">
    <dbPr connection="Provider=Microsoft.Mashup.OleDb.1;Data Source=$Workbook$;Location=Exp_05242021_NF90_6_2_F_SS_KCl;Extended Properties=&quot;&quot;" command="SELECT * FROM [Exp_05242021_NF90_6_2_F_SS_KCl]"/>
  </connection>
</connections>
</file>

<file path=xl/sharedStrings.xml><?xml version="1.0" encoding="utf-8"?>
<sst xmlns="http://schemas.openxmlformats.org/spreadsheetml/2006/main" count="107" uniqueCount="63">
  <si>
    <t>Experiment Identifier:</t>
  </si>
  <si>
    <t xml:space="preserve">Experiment Type: </t>
  </si>
  <si>
    <t>Number of Salts:</t>
  </si>
  <si>
    <t>Salts:</t>
  </si>
  <si>
    <t>Initial Concentration (mM):</t>
  </si>
  <si>
    <t>mM</t>
  </si>
  <si>
    <t>Dialysate Concentration (mM):</t>
  </si>
  <si>
    <t>ICP ID</t>
  </si>
  <si>
    <t xml:space="preserve">Empty SC Weight: </t>
  </si>
  <si>
    <t>g</t>
  </si>
  <si>
    <t>Initial SC Weight w/ Solution:</t>
  </si>
  <si>
    <t>Final SC Weight:</t>
  </si>
  <si>
    <t>Initial Pressure:</t>
  </si>
  <si>
    <t>PSI</t>
  </si>
  <si>
    <t>Operating Pressure:</t>
  </si>
  <si>
    <t>Sample ID</t>
  </si>
  <si>
    <t>Sample</t>
  </si>
  <si>
    <t>mL</t>
  </si>
  <si>
    <t>Final Tube Vial Weight:</t>
  </si>
  <si>
    <t>Final Tube Vial w/ Solution Weight:</t>
  </si>
  <si>
    <t>Nitric Acid Required Volume</t>
  </si>
  <si>
    <t>ICP Data</t>
  </si>
  <si>
    <t>Adjusted Data</t>
  </si>
  <si>
    <t>mmole/L</t>
  </si>
  <si>
    <t>Diafiltration</t>
  </si>
  <si>
    <t>KCl</t>
  </si>
  <si>
    <t>Exp_01302023_NF270_6_lag_D_SS_KCl</t>
  </si>
  <si>
    <t>Exp_02012023_NF270_6_Lag_D_SS_KCl</t>
  </si>
  <si>
    <t>ICP Data - ICP Run 6.27.23</t>
  </si>
  <si>
    <t>NF270.6LAG 1.30.23 FEED</t>
  </si>
  <si>
    <t>NF270.6LAG 1.30.23 DIAFILTRATE</t>
  </si>
  <si>
    <t>NF270.6LAG 1.30.23 FINAL TUBE</t>
  </si>
  <si>
    <t>NF270.6LAG 1.30.23 RETENTATE</t>
  </si>
  <si>
    <t>NF270.6LAG 1.30.23 PERM 1</t>
  </si>
  <si>
    <t>NF270.6LAG 1.30.23 PERM 2</t>
  </si>
  <si>
    <t>NF270.6LAG 1.30.23 PERM 3</t>
  </si>
  <si>
    <t>NF270.6LAG 1.30.23 PERM 4</t>
  </si>
  <si>
    <t>NF270.6LAG 1.30.23 PERM 5</t>
  </si>
  <si>
    <t>NF270.6LAG 1.30.23 PERM 6</t>
  </si>
  <si>
    <t>NF270.6LAG 1.30.23 PERM 7</t>
  </si>
  <si>
    <t>NF270.6LAG 1.30.23 PERM 8</t>
  </si>
  <si>
    <t>NF270.6LAG 1.30.23 PERM 9</t>
  </si>
  <si>
    <t>NF270.6LAG 1.30.23 PERM 10</t>
  </si>
  <si>
    <t>NF270.6LAG 2.1.23 FEED</t>
  </si>
  <si>
    <t>NF270.6LAG 2.1.23 DIAFILTRATE</t>
  </si>
  <si>
    <t>NF270.6LAG 2.1.23 FINAL TUBE</t>
  </si>
  <si>
    <t>NF270.6LAG 2.1.23 RETENTATE</t>
  </si>
  <si>
    <t>NF270.6LAG 2.1.23 PERM 1</t>
  </si>
  <si>
    <t>NF270.6LAG 2.1.23 PERM 2</t>
  </si>
  <si>
    <t>NF270.6LAG 2.1.23 PERM 3</t>
  </si>
  <si>
    <t>NF270.6LAG 2.1.23 PERM 4</t>
  </si>
  <si>
    <t>NF270.6LAG 2.1.23 PERM 5</t>
  </si>
  <si>
    <t>NF270.6LAG 2.1.23 PERM 6</t>
  </si>
  <si>
    <t>NF270.6LAG 2.1.23 PERM 7</t>
  </si>
  <si>
    <t>NF270.6LAG 2.1.23 PERM 8</t>
  </si>
  <si>
    <t>NF270.6LAG 2.1.23 PERM 9</t>
  </si>
  <si>
    <t>NF270.6LAG 2.1.23 PERM 10</t>
  </si>
  <si>
    <t>IC Data</t>
  </si>
  <si>
    <t>ICP Data - diluted</t>
  </si>
  <si>
    <t>Adjusted Data - diluted</t>
  </si>
  <si>
    <t>mg/L</t>
  </si>
  <si>
    <t>aimed for 1.2mM</t>
  </si>
  <si>
    <t>aimed for 1mM (assuming retentate was 100mM)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</si>
</sst>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64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64"/>
      <name val="Tahoma"/>
      <family val="2"/>
    </font>
    <font>
      <sz val="8"/>
      <color indexed="64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11"/>
        <bgColor indexed="1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11"/>
        <bgColor indexed="12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4" fillId="0" borderId="0"/>
    <xf numFmtId="0" fontId="5" fillId="0" borderId="0"/>
  </cellStyleXfs>
  <cellXfs count="34">
    <xf numFmtId="0" fontId="0" fillId="0" borderId="0" xfId="0"/>
    <xf numFmtId="10" fontId="0" fillId="0" borderId="0" xfId="1" applyNumberFormat="1" applyFont="1" applyFill="1" applyBorder="1"/>
    <xf numFmtId="0" fontId="0" fillId="0" borderId="0" xfId="1" applyNumberFormat="1" applyFont="1" applyFill="1" applyBorder="1"/>
    <xf numFmtId="2" fontId="0" fillId="0" borderId="0" xfId="1" applyNumberFormat="1" applyFont="1" applyFill="1" applyBorder="1" applyAlignment="1">
      <alignment horizontal="center"/>
    </xf>
    <xf numFmtId="165" fontId="0" fillId="0" borderId="0" xfId="1" applyNumberFormat="1" applyFont="1" applyFill="1" applyBorder="1"/>
    <xf numFmtId="0" fontId="1" fillId="0" borderId="0" xfId="0" applyFont="1"/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2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left" vertic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left" vertical="center"/>
    </xf>
    <xf numFmtId="164" fontId="6" fillId="0" borderId="1" xfId="0" applyNumberFormat="1" applyFont="1" applyBorder="1" applyAlignment="1">
      <alignment horizontal="left" vertical="center"/>
    </xf>
    <xf numFmtId="0" fontId="1" fillId="4" borderId="0" xfId="0" applyFont="1" applyFill="1" applyAlignment="1">
      <alignment horizontal="center"/>
    </xf>
    <xf numFmtId="164" fontId="3" fillId="0" borderId="1" xfId="0" applyNumberFormat="1" applyFont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left" vertical="center"/>
    </xf>
    <xf numFmtId="164" fontId="7" fillId="0" borderId="1" xfId="0" applyNumberFormat="1" applyFont="1" applyBorder="1" applyAlignment="1">
      <alignment horizontal="left" vertical="center"/>
    </xf>
    <xf numFmtId="164" fontId="7" fillId="3" borderId="1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Normal" xfId="0" builtinId="0"/>
    <cellStyle name="Normal 2" xfId="2" xr:uid="{83303842-9C25-4C4A-B97F-6B3C5C19EE0C}"/>
    <cellStyle name="Normal 3" xfId="3" xr:uid="{83FC698E-90C1-434F-AFDE-CAF80C7A51A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F387A-C0A0-42AF-95AC-9FFFFCC9CD58}">
  <dimension ref="B1:AQ65"/>
  <sheetViews>
    <sheetView zoomScale="80" zoomScaleNormal="80" workbookViewId="0">
      <selection activeCell="C4" sqref="C4"/>
    </sheetView>
  </sheetViews>
  <sheetFormatPr defaultRowHeight="14.4" x14ac:dyDescent="0.55000000000000004"/>
  <cols>
    <col min="1" max="1" width="25.734375" customWidth="1"/>
    <col min="2" max="2" width="28.3125" bestFit="1" customWidth="1"/>
    <col min="3" max="3" width="32.26171875" bestFit="1" customWidth="1"/>
    <col min="4" max="4" width="13.26171875" customWidth="1"/>
    <col min="5" max="5" width="15.83984375" customWidth="1"/>
    <col min="6" max="6" width="27.47265625" bestFit="1" customWidth="1"/>
    <col min="8" max="8" width="12.734375" style="7" customWidth="1"/>
    <col min="9" max="9" width="16.05078125" style="7" customWidth="1"/>
    <col min="10" max="10" width="19.3125" style="7" bestFit="1" customWidth="1"/>
    <col min="11" max="11" width="8.734375" style="7" customWidth="1"/>
    <col min="12" max="12" width="14.89453125" style="7" customWidth="1"/>
    <col min="13" max="13" width="13.3671875" style="7" customWidth="1"/>
    <col min="14" max="14" width="40.20703125" style="7" bestFit="1" customWidth="1"/>
    <col min="18" max="18" width="18" customWidth="1"/>
    <col min="19" max="20" width="15.734375" customWidth="1"/>
    <col min="21" max="21" width="14.7890625" customWidth="1"/>
  </cols>
  <sheetData>
    <row r="1" spans="2:15" s="5" customFormat="1" x14ac:dyDescent="0.55000000000000004">
      <c r="H1" s="19"/>
      <c r="I1" s="19"/>
      <c r="J1" s="19"/>
      <c r="K1" s="19"/>
      <c r="L1" s="19"/>
      <c r="M1" s="19"/>
      <c r="N1" s="19"/>
    </row>
    <row r="2" spans="2:15" s="5" customFormat="1" x14ac:dyDescent="0.55000000000000004">
      <c r="B2" s="8"/>
      <c r="F2" s="32" t="s">
        <v>28</v>
      </c>
      <c r="G2" s="32"/>
      <c r="H2" s="32"/>
      <c r="I2" s="32"/>
      <c r="J2" s="32"/>
      <c r="K2" s="19"/>
      <c r="L2" s="19"/>
      <c r="M2" s="19"/>
      <c r="N2" s="19"/>
    </row>
    <row r="3" spans="2:15" s="5" customFormat="1" x14ac:dyDescent="0.55000000000000004">
      <c r="B3" s="8" t="s">
        <v>0</v>
      </c>
      <c r="C3" s="5" t="s">
        <v>26</v>
      </c>
      <c r="F3" s="16"/>
      <c r="G3" s="22"/>
      <c r="H3" s="22"/>
      <c r="I3" s="22"/>
      <c r="J3" s="22"/>
      <c r="L3" s="19"/>
      <c r="M3" s="19"/>
      <c r="N3" s="19"/>
    </row>
    <row r="4" spans="2:15" s="5" customFormat="1" ht="43.2" x14ac:dyDescent="0.55000000000000004">
      <c r="B4" s="8"/>
      <c r="F4" s="33" t="s">
        <v>15</v>
      </c>
      <c r="G4" s="33" t="s">
        <v>7</v>
      </c>
      <c r="H4" s="20" t="s">
        <v>20</v>
      </c>
      <c r="I4" s="22" t="s">
        <v>16</v>
      </c>
      <c r="J4" s="5" t="s">
        <v>21</v>
      </c>
      <c r="K4" s="12" t="s">
        <v>22</v>
      </c>
      <c r="L4" s="5" t="s">
        <v>58</v>
      </c>
      <c r="M4" s="12" t="s">
        <v>59</v>
      </c>
      <c r="N4" s="19"/>
    </row>
    <row r="5" spans="2:15" s="5" customFormat="1" x14ac:dyDescent="0.55000000000000004">
      <c r="B5" s="8" t="s">
        <v>1</v>
      </c>
      <c r="C5" s="5" t="s">
        <v>24</v>
      </c>
      <c r="F5" s="33"/>
      <c r="G5" s="33"/>
      <c r="H5" s="22" t="s">
        <v>17</v>
      </c>
      <c r="I5" s="22" t="s">
        <v>17</v>
      </c>
      <c r="J5" s="5" t="s">
        <v>60</v>
      </c>
      <c r="K5" s="5" t="s">
        <v>23</v>
      </c>
      <c r="L5" s="19" t="s">
        <v>60</v>
      </c>
      <c r="M5" s="19" t="s">
        <v>23</v>
      </c>
      <c r="N5" s="19"/>
    </row>
    <row r="6" spans="2:15" s="5" customFormat="1" x14ac:dyDescent="0.55000000000000004">
      <c r="B6" s="8" t="s">
        <v>2</v>
      </c>
      <c r="C6" s="5">
        <v>1</v>
      </c>
      <c r="F6" t="s">
        <v>29</v>
      </c>
      <c r="G6" s="23">
        <v>141</v>
      </c>
      <c r="H6">
        <v>5</v>
      </c>
      <c r="I6">
        <v>0.12</v>
      </c>
      <c r="J6" s="30">
        <v>15.289854304500594</v>
      </c>
      <c r="K6" s="5">
        <f>(J6*(H6+I6)/I6)/39.098</f>
        <v>16.685434472147563</v>
      </c>
      <c r="L6" s="28">
        <v>14.994532252882699</v>
      </c>
      <c r="M6" s="19">
        <f>(L6*(H6+I6)/I6)/39.098</f>
        <v>16.363156925068509</v>
      </c>
      <c r="N6" s="19"/>
    </row>
    <row r="7" spans="2:15" s="5" customFormat="1" x14ac:dyDescent="0.55000000000000004">
      <c r="B7" s="8" t="s">
        <v>3</v>
      </c>
      <c r="C7" s="5" t="s">
        <v>25</v>
      </c>
      <c r="F7" t="s">
        <v>30</v>
      </c>
      <c r="G7" s="24">
        <v>142</v>
      </c>
      <c r="H7">
        <v>5</v>
      </c>
      <c r="I7">
        <v>1.2E-2</v>
      </c>
      <c r="J7" s="31">
        <v>12.655233976629647</v>
      </c>
      <c r="K7" s="5">
        <f t="shared" ref="K7:K11" si="0">(J7*(H7+I7)/I7)/39.098</f>
        <v>135.19027548482399</v>
      </c>
      <c r="L7" s="29">
        <v>1.3970852584598701</v>
      </c>
      <c r="M7" s="19">
        <f>(L7*(H7+0.12)/0.12)/39.098</f>
        <v>1.5246040981027451</v>
      </c>
      <c r="N7" s="5" t="s">
        <v>61</v>
      </c>
      <c r="O7" s="5">
        <f>M7*(5+0.05)/0.05</f>
        <v>153.98501390837723</v>
      </c>
    </row>
    <row r="8" spans="2:15" s="5" customFormat="1" x14ac:dyDescent="0.55000000000000004">
      <c r="B8" s="8" t="s">
        <v>4</v>
      </c>
      <c r="C8" s="5">
        <v>15</v>
      </c>
      <c r="D8" s="5" t="s">
        <v>5</v>
      </c>
      <c r="F8" t="s">
        <v>31</v>
      </c>
      <c r="G8" s="23">
        <v>143</v>
      </c>
      <c r="H8">
        <v>5</v>
      </c>
      <c r="I8">
        <v>1.2E-2</v>
      </c>
      <c r="J8" s="30">
        <v>7.3155808964154074</v>
      </c>
      <c r="K8" s="5">
        <f t="shared" si="0"/>
        <v>78.149119845929931</v>
      </c>
      <c r="L8" s="19"/>
      <c r="M8" s="19"/>
      <c r="N8" s="19"/>
    </row>
    <row r="9" spans="2:15" s="5" customFormat="1" x14ac:dyDescent="0.55000000000000004">
      <c r="B9" s="8" t="s">
        <v>6</v>
      </c>
      <c r="C9" s="5">
        <v>120</v>
      </c>
      <c r="D9" s="5" t="s">
        <v>5</v>
      </c>
      <c r="F9" t="s">
        <v>32</v>
      </c>
      <c r="G9" s="24">
        <v>144</v>
      </c>
      <c r="H9">
        <v>5</v>
      </c>
      <c r="I9">
        <v>1.2E-2</v>
      </c>
      <c r="J9" s="31">
        <v>9.3562622259278427</v>
      </c>
      <c r="K9" s="5">
        <f t="shared" si="0"/>
        <v>99.948817237775032</v>
      </c>
      <c r="L9" s="28">
        <v>1.17100630133279</v>
      </c>
      <c r="M9" s="19">
        <f>(L9*(H9+0.12)/0.12)/39.098</f>
        <v>1.2778898031493269</v>
      </c>
      <c r="N9" s="19" t="s">
        <v>62</v>
      </c>
      <c r="O9" s="5">
        <f>M9*(5+0.05)/0.05</f>
        <v>129.06687011808199</v>
      </c>
    </row>
    <row r="10" spans="2:15" s="5" customFormat="1" x14ac:dyDescent="0.55000000000000004">
      <c r="B10" s="8"/>
      <c r="F10" t="s">
        <v>33</v>
      </c>
      <c r="G10" s="23">
        <v>145</v>
      </c>
      <c r="H10">
        <v>5</v>
      </c>
      <c r="I10">
        <v>2.5000000000000001E-2</v>
      </c>
      <c r="J10" s="25">
        <v>1.9929733928675892</v>
      </c>
      <c r="K10" s="5">
        <f t="shared" si="0"/>
        <v>10.245732568581142</v>
      </c>
      <c r="L10" s="19"/>
      <c r="M10" s="19"/>
      <c r="N10" s="19"/>
    </row>
    <row r="11" spans="2:15" s="5" customFormat="1" x14ac:dyDescent="0.55000000000000004">
      <c r="B11" s="8" t="s">
        <v>8</v>
      </c>
      <c r="C11" s="5">
        <v>31.34</v>
      </c>
      <c r="D11" s="5" t="s">
        <v>9</v>
      </c>
      <c r="F11" t="s">
        <v>34</v>
      </c>
      <c r="G11" s="24">
        <v>146</v>
      </c>
      <c r="H11">
        <v>5</v>
      </c>
      <c r="I11">
        <v>2.5000000000000001E-2</v>
      </c>
      <c r="J11" s="26">
        <v>3.5020332580449858</v>
      </c>
      <c r="K11" s="5">
        <f t="shared" si="0"/>
        <v>18.003700569518703</v>
      </c>
      <c r="L11" s="19"/>
    </row>
    <row r="12" spans="2:15" s="5" customFormat="1" x14ac:dyDescent="0.55000000000000004">
      <c r="B12" s="8" t="s">
        <v>10</v>
      </c>
      <c r="C12" s="5">
        <v>41.34</v>
      </c>
      <c r="D12" s="5" t="s">
        <v>9</v>
      </c>
      <c r="F12" t="s">
        <v>35</v>
      </c>
      <c r="G12" s="23">
        <v>147</v>
      </c>
      <c r="H12">
        <v>5</v>
      </c>
      <c r="I12">
        <v>2.5000000000000001E-2</v>
      </c>
      <c r="J12" s="25">
        <v>5.0269946096971632</v>
      </c>
      <c r="K12" s="5">
        <f t="shared" ref="K12:K19" si="1">(J12*(H12+I12)/I12)/39.098</f>
        <v>25.843416966318731</v>
      </c>
      <c r="L12" s="19"/>
      <c r="M12" s="19"/>
      <c r="N12" s="19"/>
    </row>
    <row r="13" spans="2:15" s="5" customFormat="1" x14ac:dyDescent="0.55000000000000004">
      <c r="B13" s="8" t="s">
        <v>11</v>
      </c>
      <c r="C13" s="5">
        <v>40.92</v>
      </c>
      <c r="D13" s="5" t="s">
        <v>9</v>
      </c>
      <c r="F13" t="s">
        <v>36</v>
      </c>
      <c r="G13" s="24">
        <v>148</v>
      </c>
      <c r="H13">
        <v>5</v>
      </c>
      <c r="I13">
        <v>2.5000000000000001E-2</v>
      </c>
      <c r="J13" s="26">
        <v>6.4348469420147607</v>
      </c>
      <c r="K13" s="5">
        <f t="shared" si="1"/>
        <v>33.081084335387153</v>
      </c>
      <c r="L13" s="19"/>
      <c r="M13" s="19"/>
      <c r="N13" s="19"/>
    </row>
    <row r="14" spans="2:15" s="5" customFormat="1" x14ac:dyDescent="0.55000000000000004">
      <c r="B14" s="8"/>
      <c r="F14" t="s">
        <v>37</v>
      </c>
      <c r="G14" s="23">
        <v>149</v>
      </c>
      <c r="H14">
        <v>5</v>
      </c>
      <c r="I14">
        <v>2.5000000000000001E-2</v>
      </c>
      <c r="J14" s="25">
        <v>8.3256243771892109</v>
      </c>
      <c r="K14" s="5">
        <f t="shared" si="1"/>
        <v>42.801434851271964</v>
      </c>
      <c r="L14" s="19"/>
      <c r="M14" s="19"/>
      <c r="N14" s="19"/>
    </row>
    <row r="15" spans="2:15" s="5" customFormat="1" x14ac:dyDescent="0.55000000000000004">
      <c r="B15" s="8" t="s">
        <v>12</v>
      </c>
      <c r="C15" s="5">
        <v>13.394</v>
      </c>
      <c r="D15" s="5" t="s">
        <v>13</v>
      </c>
      <c r="F15" t="s">
        <v>38</v>
      </c>
      <c r="G15" s="24">
        <v>150</v>
      </c>
      <c r="H15">
        <v>5</v>
      </c>
      <c r="I15">
        <v>2.5000000000000001E-2</v>
      </c>
      <c r="J15" s="26">
        <v>9.697399074887203</v>
      </c>
      <c r="K15" s="5">
        <f t="shared" si="1"/>
        <v>49.853629701067263</v>
      </c>
      <c r="L15" s="19"/>
      <c r="M15" s="19"/>
      <c r="N15" s="19"/>
    </row>
    <row r="16" spans="2:15" s="5" customFormat="1" x14ac:dyDescent="0.55000000000000004">
      <c r="B16" s="8" t="s">
        <v>14</v>
      </c>
      <c r="C16" s="5">
        <v>60.185000000000002</v>
      </c>
      <c r="D16" s="5" t="s">
        <v>13</v>
      </c>
      <c r="F16" t="s">
        <v>39</v>
      </c>
      <c r="G16" s="23">
        <v>151</v>
      </c>
      <c r="H16">
        <v>5</v>
      </c>
      <c r="I16">
        <v>2.5000000000000001E-2</v>
      </c>
      <c r="J16" s="25">
        <v>11.104065085672218</v>
      </c>
      <c r="K16" s="5">
        <f t="shared" si="1"/>
        <v>57.085198276641158</v>
      </c>
      <c r="L16" s="19"/>
      <c r="M16" s="19"/>
      <c r="N16" s="19"/>
    </row>
    <row r="17" spans="2:20" s="5" customFormat="1" x14ac:dyDescent="0.55000000000000004">
      <c r="B17" s="8"/>
      <c r="F17" t="s">
        <v>40</v>
      </c>
      <c r="G17" s="24">
        <v>152</v>
      </c>
      <c r="H17">
        <v>5</v>
      </c>
      <c r="I17">
        <v>2.5000000000000001E-2</v>
      </c>
      <c r="J17" s="26">
        <v>12.570315155386588</v>
      </c>
      <c r="K17" s="5">
        <f t="shared" si="1"/>
        <v>64.623084204632065</v>
      </c>
      <c r="L17" s="19"/>
      <c r="M17" s="19"/>
      <c r="N17" s="19"/>
    </row>
    <row r="18" spans="2:20" s="5" customFormat="1" ht="13.9" customHeight="1" x14ac:dyDescent="0.55000000000000004">
      <c r="B18" s="21" t="s">
        <v>18</v>
      </c>
      <c r="C18" s="16">
        <v>2.75</v>
      </c>
      <c r="D18" s="9" t="s">
        <v>9</v>
      </c>
      <c r="F18" t="s">
        <v>41</v>
      </c>
      <c r="G18" s="23">
        <v>153</v>
      </c>
      <c r="H18">
        <v>5</v>
      </c>
      <c r="I18">
        <v>2.5000000000000001E-2</v>
      </c>
      <c r="J18" s="25">
        <v>14.516029616550183</v>
      </c>
      <c r="K18" s="5">
        <f t="shared" si="1"/>
        <v>74.625862011524546</v>
      </c>
      <c r="L18" s="19"/>
      <c r="M18" s="19"/>
      <c r="N18" s="19"/>
    </row>
    <row r="19" spans="2:20" s="12" customFormat="1" ht="13.9" customHeight="1" x14ac:dyDescent="0.55000000000000004">
      <c r="B19" s="21" t="s">
        <v>19</v>
      </c>
      <c r="C19" s="16">
        <v>3.45</v>
      </c>
      <c r="D19" s="9" t="s">
        <v>9</v>
      </c>
      <c r="F19" t="s">
        <v>42</v>
      </c>
      <c r="G19" s="24">
        <v>154</v>
      </c>
      <c r="H19">
        <v>5</v>
      </c>
      <c r="I19">
        <v>2.5000000000000001E-2</v>
      </c>
      <c r="J19" s="26">
        <v>15.344297271184191</v>
      </c>
      <c r="K19" s="5">
        <f t="shared" si="1"/>
        <v>78.883926326359983</v>
      </c>
    </row>
    <row r="20" spans="2:20" s="5" customFormat="1" ht="13.9" customHeight="1" x14ac:dyDescent="0.55000000000000004">
      <c r="L20" s="13"/>
      <c r="N20" s="19"/>
      <c r="O20" s="19"/>
      <c r="P20" s="19"/>
      <c r="Q20" s="19"/>
      <c r="S20" s="19"/>
      <c r="T20" s="19"/>
    </row>
    <row r="21" spans="2:20" s="5" customFormat="1" ht="13.9" customHeight="1" x14ac:dyDescent="0.55000000000000004">
      <c r="L21" s="19"/>
      <c r="N21" s="19"/>
      <c r="O21" s="19"/>
      <c r="P21" s="19"/>
      <c r="Q21" s="19"/>
      <c r="S21" s="19"/>
      <c r="T21" s="19"/>
    </row>
    <row r="22" spans="2:20" s="5" customFormat="1" ht="13.9" customHeight="1" x14ac:dyDescent="0.55000000000000004">
      <c r="J22" s="25">
        <v>14.321484604633975</v>
      </c>
      <c r="L22" s="19"/>
      <c r="N22" s="19"/>
      <c r="O22" s="9"/>
      <c r="P22" s="19"/>
      <c r="Q22" s="19"/>
      <c r="R22" s="10"/>
      <c r="S22" s="14"/>
      <c r="T22" s="10"/>
    </row>
    <row r="23" spans="2:20" s="5" customFormat="1" ht="13.9" customHeight="1" x14ac:dyDescent="0.55000000000000004">
      <c r="J23" s="26">
        <v>13.346573075314621</v>
      </c>
      <c r="L23" s="19"/>
      <c r="N23" s="19"/>
      <c r="O23" s="9"/>
      <c r="P23" s="19"/>
      <c r="Q23" s="19"/>
      <c r="R23" s="10"/>
      <c r="S23" s="14"/>
      <c r="T23" s="10"/>
    </row>
    <row r="24" spans="2:20" s="5" customFormat="1" ht="13.9" customHeight="1" x14ac:dyDescent="0.55000000000000004">
      <c r="J24" s="25">
        <v>7.7418250523653365</v>
      </c>
      <c r="L24" s="19"/>
      <c r="N24" s="19"/>
      <c r="O24" s="9"/>
      <c r="P24" s="19"/>
      <c r="Q24" s="19"/>
      <c r="R24" s="10"/>
      <c r="S24" s="14"/>
      <c r="T24" s="10"/>
    </row>
    <row r="25" spans="2:20" s="5" customFormat="1" ht="13.9" customHeight="1" x14ac:dyDescent="0.55000000000000004">
      <c r="J25" s="26">
        <v>10.859094883119278</v>
      </c>
      <c r="L25" s="19"/>
      <c r="N25" s="19"/>
      <c r="O25" s="9"/>
      <c r="P25" s="19"/>
      <c r="Q25" s="19"/>
      <c r="R25" s="10"/>
      <c r="S25" s="14"/>
      <c r="T25" s="10"/>
    </row>
    <row r="26" spans="2:20" s="5" customFormat="1" ht="13.9" customHeight="1" x14ac:dyDescent="0.55000000000000004">
      <c r="L26" s="19"/>
      <c r="N26" s="19"/>
      <c r="O26" s="9"/>
      <c r="P26" s="19"/>
      <c r="Q26" s="19"/>
      <c r="R26" s="10"/>
      <c r="S26" s="14"/>
      <c r="T26" s="10"/>
    </row>
    <row r="27" spans="2:20" s="5" customFormat="1" ht="13.9" customHeight="1" x14ac:dyDescent="0.55000000000000004">
      <c r="L27" s="19"/>
      <c r="N27" s="19"/>
      <c r="O27" s="9"/>
      <c r="P27" s="19"/>
      <c r="Q27" s="19"/>
      <c r="R27" s="10"/>
      <c r="S27" s="14"/>
      <c r="T27" s="10"/>
    </row>
    <row r="28" spans="2:20" s="5" customFormat="1" ht="13.9" customHeight="1" x14ac:dyDescent="0.55000000000000004">
      <c r="L28" s="19"/>
      <c r="N28" s="19"/>
      <c r="O28" s="9"/>
      <c r="P28" s="19"/>
      <c r="Q28" s="19"/>
      <c r="R28" s="10"/>
      <c r="S28" s="14"/>
      <c r="T28" s="10"/>
    </row>
    <row r="29" spans="2:20" s="5" customFormat="1" ht="13.9" customHeight="1" x14ac:dyDescent="0.55000000000000004">
      <c r="L29" s="19"/>
      <c r="N29" s="19"/>
      <c r="O29" s="9"/>
      <c r="P29" s="19"/>
      <c r="Q29" s="19"/>
      <c r="R29" s="10"/>
      <c r="S29" s="14"/>
      <c r="T29" s="10"/>
    </row>
    <row r="30" spans="2:20" s="5" customFormat="1" x14ac:dyDescent="0.55000000000000004">
      <c r="H30" s="19"/>
      <c r="L30" s="19"/>
      <c r="N30" s="19"/>
      <c r="O30" s="9"/>
      <c r="P30" s="19"/>
      <c r="Q30" s="19"/>
      <c r="R30" s="10"/>
      <c r="S30" s="14"/>
      <c r="T30" s="10"/>
    </row>
    <row r="31" spans="2:20" s="5" customFormat="1" x14ac:dyDescent="0.55000000000000004">
      <c r="H31" s="19"/>
      <c r="L31" s="19"/>
      <c r="N31" s="19"/>
      <c r="O31" s="9"/>
      <c r="P31" s="19"/>
      <c r="Q31" s="19"/>
      <c r="R31" s="10"/>
      <c r="S31" s="14"/>
      <c r="T31" s="10"/>
    </row>
    <row r="32" spans="2:20" s="5" customFormat="1" x14ac:dyDescent="0.55000000000000004">
      <c r="H32" s="19"/>
      <c r="L32" s="19"/>
      <c r="N32" s="19"/>
      <c r="O32" s="9"/>
      <c r="P32" s="19"/>
      <c r="Q32" s="19"/>
      <c r="R32" s="10"/>
      <c r="S32" s="14"/>
      <c r="T32" s="10"/>
    </row>
    <row r="33" spans="2:43" s="5" customFormat="1" x14ac:dyDescent="0.55000000000000004">
      <c r="H33" s="19"/>
      <c r="L33" s="19"/>
      <c r="N33" s="19"/>
      <c r="O33" s="9"/>
      <c r="P33" s="19"/>
      <c r="Q33" s="19"/>
      <c r="R33" s="10"/>
      <c r="S33" s="14"/>
      <c r="T33" s="10"/>
    </row>
    <row r="34" spans="2:43" s="5" customFormat="1" x14ac:dyDescent="0.55000000000000004">
      <c r="H34" s="19"/>
      <c r="L34" s="19"/>
      <c r="N34" s="19"/>
      <c r="O34" s="9"/>
      <c r="P34" s="19"/>
      <c r="Q34" s="19"/>
      <c r="R34" s="10"/>
      <c r="S34" s="14"/>
      <c r="T34" s="10"/>
    </row>
    <row r="35" spans="2:43" s="5" customFormat="1" x14ac:dyDescent="0.55000000000000004">
      <c r="B35" s="16"/>
      <c r="C35" s="19"/>
      <c r="D35" s="19"/>
      <c r="E35" s="15"/>
      <c r="F35" s="17"/>
      <c r="H35" s="19"/>
      <c r="I35" s="9"/>
      <c r="K35" s="19"/>
      <c r="L35" s="19"/>
      <c r="N35" s="19"/>
      <c r="O35" s="9"/>
      <c r="P35" s="19"/>
      <c r="Q35" s="19"/>
      <c r="R35" s="10"/>
      <c r="S35" s="14"/>
      <c r="T35" s="10"/>
    </row>
    <row r="36" spans="2:43" s="5" customFormat="1" x14ac:dyDescent="0.55000000000000004">
      <c r="B36" s="16"/>
      <c r="C36" s="19"/>
      <c r="D36" s="19"/>
      <c r="E36" s="15"/>
      <c r="F36" s="17"/>
      <c r="H36" s="19"/>
      <c r="I36" s="11"/>
    </row>
    <row r="37" spans="2:43" s="5" customFormat="1" x14ac:dyDescent="0.55000000000000004">
      <c r="B37" s="16"/>
      <c r="C37" s="19"/>
      <c r="D37" s="19"/>
      <c r="E37" s="15"/>
      <c r="F37" s="17"/>
      <c r="H37" s="19"/>
      <c r="I37" s="9"/>
      <c r="J37" s="19"/>
      <c r="K37" s="19"/>
      <c r="L37" s="9"/>
      <c r="M37" s="19"/>
      <c r="N37" s="11"/>
    </row>
    <row r="38" spans="2:43" s="5" customFormat="1" x14ac:dyDescent="0.55000000000000004">
      <c r="B38" s="16"/>
      <c r="C38" s="19"/>
      <c r="D38" s="19"/>
      <c r="E38" s="15"/>
      <c r="F38" s="17"/>
      <c r="I38" s="9"/>
      <c r="J38" s="19"/>
      <c r="K38" s="19"/>
      <c r="L38" s="9"/>
      <c r="M38" s="19"/>
      <c r="N38" s="11"/>
    </row>
    <row r="39" spans="2:43" s="5" customFormat="1" x14ac:dyDescent="0.55000000000000004">
      <c r="B39" s="19"/>
      <c r="C39" s="19"/>
      <c r="D39" s="19"/>
      <c r="E39" s="19"/>
      <c r="F39" s="15"/>
      <c r="I39" s="9"/>
      <c r="J39" s="19"/>
      <c r="K39" s="19"/>
      <c r="L39" s="9"/>
      <c r="M39" s="19"/>
      <c r="N39" s="11"/>
    </row>
    <row r="40" spans="2:43" s="5" customFormat="1" x14ac:dyDescent="0.55000000000000004">
      <c r="C40" s="8"/>
      <c r="E40" s="8"/>
      <c r="F40" s="18"/>
      <c r="H40" s="19"/>
      <c r="I40" s="19"/>
      <c r="J40" s="19"/>
      <c r="K40" s="19"/>
      <c r="L40" s="19"/>
      <c r="M40" s="19"/>
      <c r="N40" s="19"/>
    </row>
    <row r="41" spans="2:43" s="5" customFormat="1" x14ac:dyDescent="0.55000000000000004">
      <c r="B41" s="8"/>
      <c r="H41" s="19"/>
      <c r="I41" s="19"/>
      <c r="J41" s="19"/>
      <c r="K41" s="19"/>
      <c r="L41" s="19"/>
      <c r="M41" s="19"/>
      <c r="N41" s="19"/>
    </row>
    <row r="42" spans="2:43" x14ac:dyDescent="0.55000000000000004">
      <c r="B42" s="8"/>
      <c r="C42" s="5"/>
      <c r="D42" s="5"/>
      <c r="E42" s="5"/>
      <c r="H42" s="19"/>
    </row>
    <row r="43" spans="2:43" x14ac:dyDescent="0.55000000000000004">
      <c r="B43" s="8"/>
      <c r="C43" s="5"/>
      <c r="D43" s="5"/>
      <c r="E43" s="5"/>
    </row>
    <row r="45" spans="2:43" s="5" customFormat="1" x14ac:dyDescent="0.55000000000000004">
      <c r="H45" s="19"/>
      <c r="I45" s="19"/>
      <c r="J45" s="19"/>
      <c r="K45" s="19"/>
      <c r="L45" s="19"/>
      <c r="M45" s="19"/>
      <c r="N45" s="19"/>
    </row>
    <row r="46" spans="2:43" s="5" customFormat="1" x14ac:dyDescent="0.55000000000000004">
      <c r="B46" s="8"/>
      <c r="H46" s="19"/>
      <c r="I46" s="19"/>
      <c r="J46" s="19"/>
      <c r="K46" s="19"/>
      <c r="L46" s="19"/>
      <c r="M46" s="19"/>
      <c r="N46" s="19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</row>
    <row r="47" spans="2:43" s="5" customFormat="1" x14ac:dyDescent="0.55000000000000004">
      <c r="B47" s="8"/>
      <c r="H47" s="19"/>
      <c r="I47" s="19"/>
      <c r="J47" s="19"/>
      <c r="K47" s="19"/>
      <c r="L47" s="19"/>
      <c r="M47" s="19"/>
      <c r="N47" s="19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</row>
    <row r="48" spans="2:43" s="5" customFormat="1" x14ac:dyDescent="0.55000000000000004">
      <c r="B48" s="8"/>
      <c r="H48" s="19"/>
      <c r="I48" s="19"/>
      <c r="J48" s="19"/>
      <c r="K48" s="19"/>
      <c r="L48" s="19"/>
      <c r="M48" s="19"/>
      <c r="N48" s="19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</row>
    <row r="49" spans="2:43" s="5" customFormat="1" x14ac:dyDescent="0.55000000000000004">
      <c r="B49" s="8"/>
      <c r="H49" s="19"/>
      <c r="I49" s="19"/>
      <c r="J49" s="19"/>
      <c r="K49" s="1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</row>
    <row r="50" spans="2:43" s="5" customFormat="1" x14ac:dyDescent="0.55000000000000004">
      <c r="B50" s="8"/>
      <c r="H50" s="19"/>
      <c r="I50" s="19"/>
      <c r="J50" s="19"/>
      <c r="K50" s="19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</row>
    <row r="51" spans="2:43" s="5" customFormat="1" x14ac:dyDescent="0.55000000000000004">
      <c r="B51" s="8"/>
      <c r="H51" s="19"/>
      <c r="I51" s="19"/>
      <c r="J51" s="19"/>
      <c r="K51" s="19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</row>
    <row r="52" spans="2:43" s="5" customFormat="1" x14ac:dyDescent="0.55000000000000004">
      <c r="B52" s="8"/>
      <c r="H52" s="19"/>
      <c r="I52" s="19"/>
      <c r="J52" s="19"/>
      <c r="K52" s="19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 spans="2:43" s="5" customFormat="1" x14ac:dyDescent="0.55000000000000004">
      <c r="B53" s="8"/>
      <c r="H53" s="19"/>
      <c r="I53" s="19"/>
      <c r="J53" s="19"/>
      <c r="K53" s="19"/>
      <c r="AD53" s="1"/>
      <c r="AE53" s="2"/>
      <c r="AF53" s="2"/>
      <c r="AG53"/>
      <c r="AH53"/>
      <c r="AI53"/>
      <c r="AJ53"/>
      <c r="AK53"/>
      <c r="AL53"/>
      <c r="AM53"/>
      <c r="AN53"/>
      <c r="AO53"/>
      <c r="AP53"/>
      <c r="AQ53"/>
    </row>
    <row r="54" spans="2:43" s="5" customFormat="1" x14ac:dyDescent="0.55000000000000004">
      <c r="B54" s="8"/>
      <c r="H54" s="19"/>
      <c r="I54" s="19"/>
      <c r="J54" s="19"/>
      <c r="K54" s="19"/>
      <c r="AD54" s="1"/>
      <c r="AE54" s="2"/>
      <c r="AF54" s="2"/>
      <c r="AG54"/>
      <c r="AH54"/>
      <c r="AI54"/>
      <c r="AJ54"/>
      <c r="AK54"/>
      <c r="AL54"/>
      <c r="AM54"/>
      <c r="AN54"/>
      <c r="AO54"/>
      <c r="AP54"/>
      <c r="AQ54"/>
    </row>
    <row r="55" spans="2:43" s="5" customFormat="1" x14ac:dyDescent="0.55000000000000004">
      <c r="B55" s="8"/>
      <c r="H55" s="19"/>
      <c r="I55" s="19"/>
      <c r="J55" s="19"/>
      <c r="K55" s="19"/>
      <c r="AD55" s="1"/>
      <c r="AE55" s="3"/>
      <c r="AF55" s="3"/>
      <c r="AG55"/>
      <c r="AH55" s="4"/>
      <c r="AI55" s="4"/>
      <c r="AJ55" s="1"/>
      <c r="AK55" s="1"/>
      <c r="AL55"/>
      <c r="AM55"/>
      <c r="AN55"/>
      <c r="AO55"/>
      <c r="AP55"/>
      <c r="AQ55"/>
    </row>
    <row r="56" spans="2:43" s="5" customFormat="1" x14ac:dyDescent="0.55000000000000004">
      <c r="B56" s="8"/>
      <c r="H56" s="19"/>
      <c r="I56" s="19"/>
      <c r="J56" s="19"/>
      <c r="K56" s="19"/>
      <c r="AD56" s="1"/>
      <c r="AE56" s="3"/>
      <c r="AF56" s="3"/>
      <c r="AG56"/>
      <c r="AH56" s="4"/>
      <c r="AI56" s="4"/>
      <c r="AJ56" s="1"/>
      <c r="AK56" s="1"/>
      <c r="AL56"/>
      <c r="AM56"/>
      <c r="AN56"/>
      <c r="AO56"/>
      <c r="AP56"/>
      <c r="AQ56"/>
    </row>
    <row r="57" spans="2:43" s="5" customFormat="1" x14ac:dyDescent="0.55000000000000004">
      <c r="B57" s="8"/>
      <c r="H57" s="19"/>
      <c r="I57" s="19"/>
      <c r="J57" s="19"/>
      <c r="K57" s="19"/>
      <c r="AD57" s="1"/>
      <c r="AE57" s="3"/>
      <c r="AF57" s="3"/>
      <c r="AG57"/>
      <c r="AH57" s="4"/>
      <c r="AI57" s="4"/>
      <c r="AJ57" s="1"/>
      <c r="AK57" s="1"/>
      <c r="AL57"/>
      <c r="AM57"/>
      <c r="AN57"/>
      <c r="AO57"/>
      <c r="AP57"/>
      <c r="AQ57"/>
    </row>
    <row r="58" spans="2:43" s="5" customFormat="1" x14ac:dyDescent="0.55000000000000004">
      <c r="B58" s="8"/>
      <c r="H58" s="19"/>
      <c r="I58" s="19"/>
      <c r="J58" s="19"/>
      <c r="K58" s="19"/>
      <c r="AD58" s="1"/>
      <c r="AE58" s="3"/>
      <c r="AF58" s="3"/>
      <c r="AG58"/>
      <c r="AH58" s="4"/>
      <c r="AI58" s="4"/>
      <c r="AJ58" s="1"/>
      <c r="AK58" s="1"/>
      <c r="AL58"/>
      <c r="AM58"/>
      <c r="AN58"/>
      <c r="AO58"/>
      <c r="AP58"/>
      <c r="AQ58"/>
    </row>
    <row r="59" spans="2:43" s="5" customFormat="1" x14ac:dyDescent="0.55000000000000004">
      <c r="B59" s="8"/>
      <c r="H59" s="19"/>
      <c r="I59" s="19"/>
      <c r="J59" s="19"/>
      <c r="K59" s="19"/>
      <c r="AD59" s="1"/>
      <c r="AE59" s="3"/>
      <c r="AF59" s="3"/>
      <c r="AG59"/>
      <c r="AH59" s="4"/>
      <c r="AI59" s="4"/>
      <c r="AJ59" s="1"/>
      <c r="AK59" s="1"/>
      <c r="AL59"/>
      <c r="AM59"/>
      <c r="AN59"/>
      <c r="AO59"/>
      <c r="AP59"/>
      <c r="AQ59"/>
    </row>
    <row r="60" spans="2:43" s="5" customFormat="1" x14ac:dyDescent="0.55000000000000004">
      <c r="B60" s="8"/>
      <c r="H60" s="19"/>
      <c r="I60" s="19"/>
      <c r="J60" s="19"/>
      <c r="K60" s="19"/>
      <c r="AD60" s="1"/>
      <c r="AE60" s="3"/>
      <c r="AF60" s="3"/>
      <c r="AG60"/>
      <c r="AH60" s="4"/>
      <c r="AI60" s="4"/>
      <c r="AJ60" s="1"/>
      <c r="AK60" s="1"/>
      <c r="AL60"/>
      <c r="AM60"/>
      <c r="AN60"/>
      <c r="AO60"/>
      <c r="AP60"/>
      <c r="AQ60"/>
    </row>
    <row r="61" spans="2:43" s="5" customFormat="1" x14ac:dyDescent="0.55000000000000004">
      <c r="B61" s="8"/>
      <c r="H61" s="19"/>
      <c r="I61" s="19"/>
      <c r="J61" s="19"/>
      <c r="K61" s="19"/>
      <c r="AD61" s="1"/>
      <c r="AE61" s="2"/>
      <c r="AF61" s="2"/>
      <c r="AG61"/>
      <c r="AH61"/>
      <c r="AI61"/>
      <c r="AJ61"/>
      <c r="AK61"/>
      <c r="AL61"/>
      <c r="AM61"/>
      <c r="AN61"/>
      <c r="AO61"/>
      <c r="AP61"/>
      <c r="AQ61"/>
    </row>
    <row r="62" spans="2:43" s="5" customFormat="1" x14ac:dyDescent="0.55000000000000004">
      <c r="B62" s="8"/>
      <c r="H62" s="19"/>
      <c r="I62" s="19"/>
      <c r="J62" s="19"/>
      <c r="K62" s="19"/>
      <c r="AD62" s="1"/>
      <c r="AE62" s="2"/>
      <c r="AF62" s="2"/>
      <c r="AG62"/>
      <c r="AH62"/>
      <c r="AI62"/>
      <c r="AJ62"/>
      <c r="AK62"/>
      <c r="AL62"/>
      <c r="AM62"/>
      <c r="AN62"/>
      <c r="AO62"/>
      <c r="AP62"/>
      <c r="AQ62"/>
    </row>
    <row r="63" spans="2:43" x14ac:dyDescent="0.55000000000000004">
      <c r="L63"/>
      <c r="M63"/>
      <c r="N63"/>
    </row>
    <row r="64" spans="2:43" x14ac:dyDescent="0.55000000000000004">
      <c r="L64"/>
      <c r="M64"/>
      <c r="N64"/>
    </row>
    <row r="65" spans="12:14" x14ac:dyDescent="0.55000000000000004">
      <c r="L65"/>
      <c r="M65"/>
      <c r="N65"/>
    </row>
  </sheetData>
  <mergeCells count="3">
    <mergeCell ref="F2:J2"/>
    <mergeCell ref="F4:F5"/>
    <mergeCell ref="G4:G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9632-2BDB-4630-86AF-2C254CFC47BB}">
  <dimension ref="B1:AQ65"/>
  <sheetViews>
    <sheetView tabSelected="1" zoomScale="80" zoomScaleNormal="80" workbookViewId="0">
      <selection activeCell="K6" sqref="K6"/>
    </sheetView>
  </sheetViews>
  <sheetFormatPr defaultRowHeight="14.4" x14ac:dyDescent="0.55000000000000004"/>
  <cols>
    <col min="1" max="1" width="25.734375" customWidth="1"/>
    <col min="2" max="2" width="28.3125" bestFit="1" customWidth="1"/>
    <col min="3" max="3" width="32.68359375" bestFit="1" customWidth="1"/>
    <col min="4" max="4" width="13.26171875" customWidth="1"/>
    <col min="5" max="5" width="15.83984375" customWidth="1"/>
    <col min="6" max="6" width="26.47265625" bestFit="1" customWidth="1"/>
    <col min="8" max="8" width="12.734375" style="7" customWidth="1"/>
    <col min="9" max="9" width="16.05078125" style="7" customWidth="1"/>
    <col min="10" max="10" width="19.3125" style="7" bestFit="1" customWidth="1"/>
    <col min="11" max="11" width="8.734375" style="7" customWidth="1"/>
    <col min="12" max="12" width="14.05078125" style="7" customWidth="1"/>
    <col min="13" max="13" width="13.5234375" style="7" customWidth="1"/>
    <col min="14" max="14" width="12.68359375" style="7" customWidth="1"/>
    <col min="18" max="18" width="18" customWidth="1"/>
    <col min="19" max="20" width="15.734375" customWidth="1"/>
    <col min="21" max="21" width="14.7890625" customWidth="1"/>
  </cols>
  <sheetData>
    <row r="1" spans="2:14" s="5" customFormat="1" x14ac:dyDescent="0.55000000000000004">
      <c r="H1" s="19"/>
      <c r="I1" s="19"/>
      <c r="J1" s="19"/>
      <c r="K1" s="19"/>
      <c r="L1" s="19"/>
      <c r="M1" s="19"/>
      <c r="N1" s="19"/>
    </row>
    <row r="2" spans="2:14" s="5" customFormat="1" x14ac:dyDescent="0.55000000000000004">
      <c r="B2" s="8"/>
      <c r="F2" s="32" t="s">
        <v>28</v>
      </c>
      <c r="G2" s="32"/>
      <c r="H2" s="32"/>
      <c r="I2" s="32"/>
      <c r="J2" s="32"/>
      <c r="K2" s="19"/>
      <c r="L2" s="19"/>
      <c r="M2" s="19"/>
      <c r="N2" s="19"/>
    </row>
    <row r="3" spans="2:14" s="5" customFormat="1" x14ac:dyDescent="0.55000000000000004">
      <c r="B3" s="8" t="s">
        <v>0</v>
      </c>
      <c r="C3" s="5" t="s">
        <v>27</v>
      </c>
      <c r="F3" s="16"/>
      <c r="G3" s="22"/>
      <c r="H3" s="22"/>
      <c r="I3" s="22"/>
      <c r="L3" s="19"/>
      <c r="M3" s="19"/>
      <c r="N3" s="19"/>
    </row>
    <row r="4" spans="2:14" s="5" customFormat="1" ht="43.2" x14ac:dyDescent="0.55000000000000004">
      <c r="B4" s="8"/>
      <c r="F4" s="33" t="s">
        <v>15</v>
      </c>
      <c r="G4" s="33" t="s">
        <v>7</v>
      </c>
      <c r="H4" s="20" t="s">
        <v>20</v>
      </c>
      <c r="I4" s="22" t="s">
        <v>16</v>
      </c>
      <c r="J4" s="5" t="s">
        <v>21</v>
      </c>
      <c r="K4" s="12" t="s">
        <v>22</v>
      </c>
      <c r="L4" s="5" t="s">
        <v>57</v>
      </c>
      <c r="M4" s="12" t="s">
        <v>22</v>
      </c>
      <c r="N4" s="19"/>
    </row>
    <row r="5" spans="2:14" s="5" customFormat="1" x14ac:dyDescent="0.55000000000000004">
      <c r="B5" s="8" t="s">
        <v>1</v>
      </c>
      <c r="C5" s="5" t="s">
        <v>24</v>
      </c>
      <c r="F5" s="33"/>
      <c r="G5" s="33"/>
      <c r="H5" s="22" t="s">
        <v>17</v>
      </c>
      <c r="I5" s="22" t="s">
        <v>17</v>
      </c>
      <c r="K5" s="5" t="s">
        <v>23</v>
      </c>
      <c r="L5" s="19"/>
      <c r="M5" s="19"/>
      <c r="N5" s="19"/>
    </row>
    <row r="6" spans="2:14" s="5" customFormat="1" x14ac:dyDescent="0.55000000000000004">
      <c r="B6" s="8" t="s">
        <v>2</v>
      </c>
      <c r="C6" s="5">
        <v>1</v>
      </c>
      <c r="F6" t="s">
        <v>43</v>
      </c>
      <c r="G6" s="23">
        <v>155</v>
      </c>
      <c r="H6">
        <v>5</v>
      </c>
      <c r="I6">
        <v>0.12</v>
      </c>
      <c r="J6" s="25">
        <v>1.0363831426702346</v>
      </c>
      <c r="K6" s="5">
        <f>(J6*(H6+I6)/I6)/39.098</f>
        <v>1.1309789269850976</v>
      </c>
      <c r="L6" s="19"/>
      <c r="M6" s="19"/>
      <c r="N6" s="19"/>
    </row>
    <row r="7" spans="2:14" s="5" customFormat="1" x14ac:dyDescent="0.55000000000000004">
      <c r="B7" s="8" t="s">
        <v>3</v>
      </c>
      <c r="C7" s="5" t="s">
        <v>25</v>
      </c>
      <c r="F7" t="s">
        <v>44</v>
      </c>
      <c r="G7" s="24">
        <v>156</v>
      </c>
      <c r="H7">
        <v>5</v>
      </c>
      <c r="I7">
        <v>0.12</v>
      </c>
      <c r="J7" s="26">
        <v>11.498352780986146</v>
      </c>
      <c r="K7" s="5">
        <f t="shared" ref="K7:K19" si="0">(J7*(H7+I7)/I7)/39.098</f>
        <v>12.547863965473312</v>
      </c>
      <c r="L7" s="27">
        <v>10.44</v>
      </c>
      <c r="M7" s="19">
        <f>(L7*(H7+I7)/I7)/34.453</f>
        <v>12.928917655937072</v>
      </c>
      <c r="N7" s="19"/>
    </row>
    <row r="8" spans="2:14" s="5" customFormat="1" x14ac:dyDescent="0.55000000000000004">
      <c r="B8" s="8" t="s">
        <v>4</v>
      </c>
      <c r="C8" s="5">
        <v>1</v>
      </c>
      <c r="D8" s="5" t="s">
        <v>5</v>
      </c>
      <c r="F8" t="s">
        <v>45</v>
      </c>
      <c r="G8" s="23">
        <v>157</v>
      </c>
      <c r="H8">
        <v>5</v>
      </c>
      <c r="I8">
        <v>0.12</v>
      </c>
      <c r="J8" s="25">
        <v>6.3299228241065419</v>
      </c>
      <c r="K8" s="5">
        <f t="shared" si="0"/>
        <v>6.9076859983088434</v>
      </c>
      <c r="L8" s="19"/>
      <c r="M8" s="19"/>
      <c r="N8" s="19"/>
    </row>
    <row r="9" spans="2:14" s="5" customFormat="1" x14ac:dyDescent="0.55000000000000004">
      <c r="B9" s="8" t="s">
        <v>6</v>
      </c>
      <c r="C9" s="5">
        <v>12</v>
      </c>
      <c r="D9" s="5" t="s">
        <v>5</v>
      </c>
      <c r="F9" t="s">
        <v>46</v>
      </c>
      <c r="G9" s="24">
        <v>158</v>
      </c>
      <c r="H9">
        <v>5</v>
      </c>
      <c r="I9">
        <v>0.12</v>
      </c>
      <c r="J9" s="26">
        <v>8.9794861826106231</v>
      </c>
      <c r="K9" s="5">
        <f t="shared" si="0"/>
        <v>9.7990880298579626</v>
      </c>
      <c r="L9" s="27">
        <v>8.2230000000000008</v>
      </c>
      <c r="M9" s="19">
        <f t="shared" ref="M9" si="1">(L9*(H9+I9)/I9)/34.453</f>
        <v>10.183380257161932</v>
      </c>
      <c r="N9" s="19"/>
    </row>
    <row r="10" spans="2:14" s="5" customFormat="1" x14ac:dyDescent="0.55000000000000004">
      <c r="B10" s="8"/>
      <c r="F10" t="s">
        <v>47</v>
      </c>
      <c r="G10" s="23">
        <v>159</v>
      </c>
      <c r="H10">
        <v>5</v>
      </c>
      <c r="I10">
        <v>0.12</v>
      </c>
      <c r="J10" s="25">
        <v>0.8018065917479027</v>
      </c>
      <c r="K10" s="5">
        <f t="shared" si="0"/>
        <v>0.87499142107636829</v>
      </c>
      <c r="L10" s="19"/>
      <c r="M10" s="19"/>
      <c r="N10" s="19"/>
    </row>
    <row r="11" spans="2:14" s="5" customFormat="1" x14ac:dyDescent="0.55000000000000004">
      <c r="B11" s="8" t="s">
        <v>8</v>
      </c>
      <c r="C11" s="5">
        <v>31.06</v>
      </c>
      <c r="D11" s="5" t="s">
        <v>9</v>
      </c>
      <c r="F11" t="s">
        <v>48</v>
      </c>
      <c r="G11" s="24">
        <v>160</v>
      </c>
      <c r="H11">
        <v>5</v>
      </c>
      <c r="I11">
        <v>0.12</v>
      </c>
      <c r="J11" s="26">
        <v>1.3397491619073314</v>
      </c>
      <c r="K11" s="5">
        <f t="shared" si="0"/>
        <v>1.4620346541522877</v>
      </c>
      <c r="L11" s="19"/>
      <c r="M11" s="19"/>
      <c r="N11" s="19"/>
    </row>
    <row r="12" spans="2:14" s="5" customFormat="1" x14ac:dyDescent="0.55000000000000004">
      <c r="B12" s="8" t="s">
        <v>10</v>
      </c>
      <c r="C12" s="5">
        <v>41.09</v>
      </c>
      <c r="D12" s="5" t="s">
        <v>9</v>
      </c>
      <c r="F12" t="s">
        <v>49</v>
      </c>
      <c r="G12" s="23">
        <v>161</v>
      </c>
      <c r="H12">
        <v>5</v>
      </c>
      <c r="I12">
        <v>0.12</v>
      </c>
      <c r="J12" s="25">
        <v>2.0067557480282971</v>
      </c>
      <c r="K12" s="5">
        <f t="shared" si="0"/>
        <v>2.189922210408223</v>
      </c>
      <c r="L12" s="19"/>
      <c r="M12" s="19"/>
      <c r="N12" s="19"/>
    </row>
    <row r="13" spans="2:14" s="5" customFormat="1" x14ac:dyDescent="0.55000000000000004">
      <c r="B13" s="8" t="s">
        <v>11</v>
      </c>
      <c r="C13" s="5">
        <v>40.72</v>
      </c>
      <c r="D13" s="5" t="s">
        <v>9</v>
      </c>
      <c r="F13" t="s">
        <v>50</v>
      </c>
      <c r="G13" s="24">
        <v>162</v>
      </c>
      <c r="H13">
        <v>5</v>
      </c>
      <c r="I13">
        <v>0.12</v>
      </c>
      <c r="J13" s="26">
        <v>2.610478175968991</v>
      </c>
      <c r="K13" s="5">
        <f t="shared" si="0"/>
        <v>2.8487493522603962</v>
      </c>
      <c r="L13" s="19"/>
      <c r="M13" s="19"/>
      <c r="N13" s="19"/>
    </row>
    <row r="14" spans="2:14" s="5" customFormat="1" x14ac:dyDescent="0.55000000000000004">
      <c r="B14" s="8"/>
      <c r="F14" t="s">
        <v>51</v>
      </c>
      <c r="G14" s="23">
        <v>163</v>
      </c>
      <c r="H14">
        <v>5</v>
      </c>
      <c r="I14">
        <v>0.12</v>
      </c>
      <c r="J14" s="25">
        <v>3.2683269627900287</v>
      </c>
      <c r="K14" s="5">
        <f t="shared" si="0"/>
        <v>3.5666432318543468</v>
      </c>
      <c r="L14" s="19"/>
      <c r="M14" s="19"/>
      <c r="N14" s="19"/>
    </row>
    <row r="15" spans="2:14" s="5" customFormat="1" x14ac:dyDescent="0.55000000000000004">
      <c r="B15" s="8" t="s">
        <v>12</v>
      </c>
      <c r="C15" s="5">
        <v>12.974</v>
      </c>
      <c r="D15" s="5" t="s">
        <v>13</v>
      </c>
      <c r="F15" t="s">
        <v>52</v>
      </c>
      <c r="G15" s="24">
        <v>164</v>
      </c>
      <c r="H15">
        <v>5</v>
      </c>
      <c r="I15">
        <v>0.12</v>
      </c>
      <c r="J15" s="26">
        <v>3.7063950120566065</v>
      </c>
      <c r="K15" s="5">
        <f t="shared" si="0"/>
        <v>4.0446959055300837</v>
      </c>
      <c r="L15" s="19"/>
      <c r="M15" s="19"/>
      <c r="N15" s="19"/>
    </row>
    <row r="16" spans="2:14" s="5" customFormat="1" x14ac:dyDescent="0.55000000000000004">
      <c r="B16" s="8" t="s">
        <v>14</v>
      </c>
      <c r="C16" s="5">
        <v>58.091999999999999</v>
      </c>
      <c r="D16" s="5" t="s">
        <v>13</v>
      </c>
      <c r="F16" t="s">
        <v>53</v>
      </c>
      <c r="G16" s="23">
        <v>165</v>
      </c>
      <c r="H16">
        <v>5</v>
      </c>
      <c r="I16">
        <v>0.12</v>
      </c>
      <c r="J16" s="26">
        <v>4.2770790399432608</v>
      </c>
      <c r="K16" s="5">
        <f t="shared" si="0"/>
        <v>4.6674690701377513</v>
      </c>
      <c r="L16" s="19"/>
      <c r="M16" s="19"/>
      <c r="N16" s="19"/>
    </row>
    <row r="17" spans="2:20" s="5" customFormat="1" x14ac:dyDescent="0.55000000000000004">
      <c r="B17" s="8"/>
      <c r="F17" t="s">
        <v>54</v>
      </c>
      <c r="G17" s="24">
        <v>166</v>
      </c>
      <c r="H17">
        <v>5</v>
      </c>
      <c r="I17">
        <v>0.12</v>
      </c>
      <c r="J17" s="25">
        <v>4.6224420242385849</v>
      </c>
      <c r="K17" s="5">
        <f t="shared" si="0"/>
        <v>5.0443550318220787</v>
      </c>
      <c r="L17" s="19"/>
      <c r="M17" s="19"/>
      <c r="N17" s="19"/>
    </row>
    <row r="18" spans="2:20" s="5" customFormat="1" ht="13.9" customHeight="1" x14ac:dyDescent="0.55000000000000004">
      <c r="B18" s="21" t="s">
        <v>18</v>
      </c>
      <c r="C18" s="16">
        <v>2.77</v>
      </c>
      <c r="D18" s="9" t="s">
        <v>9</v>
      </c>
      <c r="F18" t="s">
        <v>55</v>
      </c>
      <c r="G18" s="23">
        <v>167</v>
      </c>
      <c r="H18">
        <v>5</v>
      </c>
      <c r="I18">
        <v>0.12</v>
      </c>
      <c r="J18" s="26">
        <v>5.1451464041503829</v>
      </c>
      <c r="K18" s="5">
        <f t="shared" si="0"/>
        <v>5.6147692101151723</v>
      </c>
      <c r="L18" s="19"/>
      <c r="M18" s="19"/>
      <c r="N18" s="19"/>
    </row>
    <row r="19" spans="2:20" s="12" customFormat="1" ht="13.9" customHeight="1" x14ac:dyDescent="0.55000000000000004">
      <c r="B19" s="21" t="s">
        <v>19</v>
      </c>
      <c r="C19" s="16">
        <v>3.41</v>
      </c>
      <c r="D19" s="9" t="s">
        <v>9</v>
      </c>
      <c r="F19" t="s">
        <v>56</v>
      </c>
      <c r="G19" s="24">
        <v>168</v>
      </c>
      <c r="H19">
        <v>5</v>
      </c>
      <c r="I19">
        <v>0.12</v>
      </c>
      <c r="J19" s="25">
        <v>5.8891596990976822</v>
      </c>
      <c r="K19" s="5">
        <f t="shared" si="0"/>
        <v>6.4266922560787716</v>
      </c>
    </row>
    <row r="20" spans="2:20" s="5" customFormat="1" ht="13.9" customHeight="1" x14ac:dyDescent="0.55000000000000004">
      <c r="L20" s="13"/>
      <c r="M20" s="13"/>
      <c r="N20" s="19"/>
      <c r="O20" s="19"/>
      <c r="P20" s="19"/>
      <c r="Q20" s="19"/>
      <c r="S20" s="19"/>
      <c r="T20" s="19"/>
    </row>
    <row r="21" spans="2:20" s="5" customFormat="1" ht="13.9" customHeight="1" x14ac:dyDescent="0.55000000000000004">
      <c r="L21" s="19"/>
      <c r="M21" s="13"/>
      <c r="N21" s="19"/>
      <c r="O21" s="19"/>
      <c r="P21" s="19"/>
      <c r="Q21" s="19"/>
      <c r="S21" s="19"/>
      <c r="T21" s="19"/>
    </row>
    <row r="22" spans="2:20" s="5" customFormat="1" ht="13.9" customHeight="1" x14ac:dyDescent="0.55000000000000004">
      <c r="L22" s="19"/>
      <c r="M22" s="11"/>
      <c r="N22" s="19"/>
      <c r="O22" s="9"/>
      <c r="P22" s="19"/>
      <c r="Q22" s="19"/>
      <c r="R22" s="10"/>
      <c r="S22" s="14"/>
      <c r="T22" s="10"/>
    </row>
    <row r="23" spans="2:20" s="5" customFormat="1" ht="13.9" customHeight="1" x14ac:dyDescent="0.55000000000000004">
      <c r="L23" s="19"/>
      <c r="M23" s="11"/>
      <c r="N23" s="19"/>
      <c r="O23" s="9"/>
      <c r="P23" s="19"/>
      <c r="Q23" s="19"/>
      <c r="R23" s="10"/>
      <c r="S23" s="14"/>
      <c r="T23" s="10"/>
    </row>
    <row r="24" spans="2:20" s="5" customFormat="1" ht="13.9" customHeight="1" x14ac:dyDescent="0.55000000000000004">
      <c r="L24" s="19"/>
      <c r="M24" s="11"/>
      <c r="N24" s="19"/>
      <c r="O24" s="9"/>
      <c r="P24" s="19"/>
      <c r="Q24" s="19"/>
      <c r="R24" s="10"/>
      <c r="S24" s="14"/>
      <c r="T24" s="10"/>
    </row>
    <row r="25" spans="2:20" s="5" customFormat="1" ht="13.9" customHeight="1" x14ac:dyDescent="0.55000000000000004">
      <c r="L25" s="19"/>
      <c r="M25" s="11"/>
      <c r="N25" s="19"/>
      <c r="O25" s="9"/>
      <c r="P25" s="19"/>
      <c r="Q25" s="19"/>
      <c r="R25" s="10"/>
      <c r="S25" s="14"/>
      <c r="T25" s="10"/>
    </row>
    <row r="26" spans="2:20" s="5" customFormat="1" ht="13.9" customHeight="1" x14ac:dyDescent="0.55000000000000004">
      <c r="L26" s="19"/>
      <c r="M26" s="11"/>
      <c r="N26" s="19"/>
      <c r="O26" s="9"/>
      <c r="P26" s="19"/>
      <c r="Q26" s="19"/>
      <c r="R26" s="10"/>
      <c r="S26" s="14"/>
      <c r="T26" s="10"/>
    </row>
    <row r="27" spans="2:20" s="5" customFormat="1" ht="13.9" customHeight="1" x14ac:dyDescent="0.55000000000000004">
      <c r="L27" s="19"/>
      <c r="M27" s="11"/>
      <c r="N27" s="19"/>
      <c r="O27" s="9"/>
      <c r="P27" s="19"/>
      <c r="Q27" s="19"/>
      <c r="R27" s="10"/>
      <c r="S27" s="14"/>
      <c r="T27" s="10"/>
    </row>
    <row r="28" spans="2:20" s="5" customFormat="1" ht="13.9" customHeight="1" x14ac:dyDescent="0.55000000000000004">
      <c r="L28" s="19"/>
      <c r="M28" s="11"/>
      <c r="N28" s="19"/>
      <c r="O28" s="9"/>
      <c r="P28" s="19"/>
      <c r="Q28" s="19"/>
      <c r="R28" s="10"/>
      <c r="S28" s="14"/>
      <c r="T28" s="10"/>
    </row>
    <row r="29" spans="2:20" s="5" customFormat="1" ht="13.9" customHeight="1" x14ac:dyDescent="0.55000000000000004">
      <c r="L29" s="19"/>
      <c r="M29" s="11"/>
      <c r="N29" s="19"/>
      <c r="O29" s="9"/>
      <c r="P29" s="19"/>
      <c r="Q29" s="19"/>
      <c r="R29" s="10"/>
      <c r="S29" s="14"/>
      <c r="T29" s="10"/>
    </row>
    <row r="30" spans="2:20" s="5" customFormat="1" x14ac:dyDescent="0.55000000000000004">
      <c r="H30" s="19"/>
      <c r="L30" s="19"/>
      <c r="M30" s="11"/>
      <c r="N30" s="19"/>
      <c r="O30" s="9"/>
      <c r="P30" s="19"/>
      <c r="Q30" s="19"/>
      <c r="R30" s="10"/>
      <c r="S30" s="14"/>
      <c r="T30" s="10"/>
    </row>
    <row r="31" spans="2:20" s="5" customFormat="1" x14ac:dyDescent="0.55000000000000004">
      <c r="H31" s="19"/>
      <c r="L31" s="19"/>
      <c r="M31" s="11"/>
      <c r="N31" s="19"/>
      <c r="O31" s="9"/>
      <c r="P31" s="19"/>
      <c r="Q31" s="19"/>
      <c r="R31" s="10"/>
      <c r="S31" s="14"/>
      <c r="T31" s="10"/>
    </row>
    <row r="32" spans="2:20" s="5" customFormat="1" x14ac:dyDescent="0.55000000000000004">
      <c r="H32" s="19"/>
      <c r="L32" s="19"/>
      <c r="M32" s="11"/>
      <c r="N32" s="19"/>
      <c r="O32" s="9"/>
      <c r="P32" s="19"/>
      <c r="Q32" s="19"/>
      <c r="R32" s="10"/>
      <c r="S32" s="14"/>
      <c r="T32" s="10"/>
    </row>
    <row r="33" spans="2:43" s="5" customFormat="1" x14ac:dyDescent="0.55000000000000004">
      <c r="H33" s="19"/>
      <c r="L33" s="19"/>
      <c r="M33" s="11"/>
      <c r="N33" s="19"/>
      <c r="O33" s="9"/>
      <c r="P33" s="19"/>
      <c r="Q33" s="19"/>
      <c r="R33" s="10"/>
      <c r="S33" s="14"/>
      <c r="T33" s="10"/>
    </row>
    <row r="34" spans="2:43" s="5" customFormat="1" x14ac:dyDescent="0.55000000000000004">
      <c r="H34" s="19"/>
      <c r="L34" s="19"/>
      <c r="M34" s="11"/>
      <c r="N34" s="19"/>
      <c r="O34" s="9"/>
      <c r="P34" s="19"/>
      <c r="Q34" s="19"/>
      <c r="R34" s="10"/>
      <c r="S34" s="14"/>
      <c r="T34" s="10"/>
    </row>
    <row r="35" spans="2:43" s="5" customFormat="1" x14ac:dyDescent="0.55000000000000004">
      <c r="B35" s="16"/>
      <c r="C35" s="19"/>
      <c r="D35" s="19"/>
      <c r="E35" s="15"/>
      <c r="F35" s="17"/>
      <c r="H35" s="19"/>
      <c r="I35" s="9"/>
      <c r="K35" s="19"/>
      <c r="L35" s="19"/>
      <c r="M35" s="11"/>
      <c r="N35" s="19"/>
      <c r="O35" s="9"/>
      <c r="P35" s="19"/>
      <c r="Q35" s="19"/>
      <c r="R35" s="10"/>
      <c r="S35" s="14"/>
      <c r="T35" s="10"/>
    </row>
    <row r="36" spans="2:43" s="5" customFormat="1" x14ac:dyDescent="0.55000000000000004">
      <c r="B36" s="16"/>
      <c r="C36" s="19"/>
      <c r="D36" s="19"/>
      <c r="E36" s="15"/>
      <c r="F36" s="17"/>
      <c r="H36" s="19"/>
      <c r="I36" s="11"/>
    </row>
    <row r="37" spans="2:43" s="5" customFormat="1" x14ac:dyDescent="0.55000000000000004">
      <c r="B37" s="16"/>
      <c r="C37" s="19"/>
      <c r="D37" s="19"/>
      <c r="E37" s="15"/>
      <c r="F37" s="17"/>
      <c r="H37" s="19"/>
      <c r="I37" s="9"/>
      <c r="J37" s="19"/>
      <c r="K37" s="19"/>
      <c r="L37" s="9"/>
      <c r="M37" s="10"/>
      <c r="N37" s="11"/>
    </row>
    <row r="38" spans="2:43" s="5" customFormat="1" x14ac:dyDescent="0.55000000000000004">
      <c r="B38" s="16"/>
      <c r="C38" s="19"/>
      <c r="D38" s="19"/>
      <c r="E38" s="15"/>
      <c r="F38" s="17"/>
      <c r="I38" s="9"/>
      <c r="J38" s="19"/>
      <c r="K38" s="19"/>
      <c r="L38" s="9"/>
      <c r="M38" s="10"/>
      <c r="N38" s="11"/>
    </row>
    <row r="39" spans="2:43" s="5" customFormat="1" x14ac:dyDescent="0.55000000000000004">
      <c r="B39" s="19"/>
      <c r="C39" s="19"/>
      <c r="D39" s="19"/>
      <c r="E39" s="19"/>
      <c r="F39" s="15"/>
      <c r="I39" s="9"/>
      <c r="J39" s="19"/>
      <c r="K39" s="19"/>
      <c r="L39" s="9"/>
      <c r="M39" s="10"/>
      <c r="N39" s="11"/>
    </row>
    <row r="40" spans="2:43" s="5" customFormat="1" x14ac:dyDescent="0.55000000000000004">
      <c r="C40" s="8"/>
      <c r="E40" s="8"/>
      <c r="F40" s="18"/>
      <c r="H40" s="19"/>
      <c r="I40" s="19"/>
      <c r="J40" s="19"/>
      <c r="K40" s="19"/>
      <c r="L40" s="19"/>
      <c r="M40" s="6"/>
      <c r="N40" s="19"/>
    </row>
    <row r="41" spans="2:43" s="5" customFormat="1" x14ac:dyDescent="0.55000000000000004">
      <c r="B41" s="8"/>
      <c r="H41" s="19"/>
      <c r="I41" s="19"/>
      <c r="J41" s="19"/>
      <c r="K41" s="19"/>
      <c r="L41" s="19"/>
      <c r="M41" s="6"/>
      <c r="N41" s="19"/>
    </row>
    <row r="42" spans="2:43" x14ac:dyDescent="0.55000000000000004">
      <c r="B42" s="8"/>
      <c r="C42" s="5"/>
      <c r="D42" s="5"/>
      <c r="E42" s="5"/>
      <c r="H42" s="19"/>
    </row>
    <row r="43" spans="2:43" x14ac:dyDescent="0.55000000000000004">
      <c r="B43" s="8"/>
      <c r="C43" s="5"/>
      <c r="D43" s="5"/>
      <c r="E43" s="5"/>
    </row>
    <row r="45" spans="2:43" s="5" customFormat="1" x14ac:dyDescent="0.55000000000000004">
      <c r="H45" s="19"/>
      <c r="I45" s="19"/>
      <c r="J45" s="19"/>
      <c r="K45" s="19"/>
      <c r="L45" s="19"/>
      <c r="M45" s="19"/>
      <c r="N45" s="19"/>
    </row>
    <row r="46" spans="2:43" s="5" customFormat="1" x14ac:dyDescent="0.55000000000000004">
      <c r="B46" s="8"/>
      <c r="H46" s="19"/>
      <c r="I46" s="19"/>
      <c r="J46" s="19"/>
      <c r="K46" s="19"/>
      <c r="L46" s="19"/>
      <c r="M46" s="19"/>
      <c r="N46" s="19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</row>
    <row r="47" spans="2:43" s="5" customFormat="1" x14ac:dyDescent="0.55000000000000004">
      <c r="B47" s="8"/>
      <c r="H47" s="19"/>
      <c r="I47" s="19"/>
      <c r="J47" s="19"/>
      <c r="K47" s="19"/>
      <c r="L47" s="19"/>
      <c r="M47" s="19"/>
      <c r="N47" s="19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</row>
    <row r="48" spans="2:43" s="5" customFormat="1" x14ac:dyDescent="0.55000000000000004">
      <c r="B48" s="8"/>
      <c r="H48" s="19"/>
      <c r="I48" s="19"/>
      <c r="J48" s="19"/>
      <c r="K48" s="19"/>
      <c r="L48" s="19"/>
      <c r="M48" s="19"/>
      <c r="N48" s="19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</row>
    <row r="49" spans="2:43" s="5" customFormat="1" x14ac:dyDescent="0.55000000000000004">
      <c r="B49" s="8"/>
      <c r="H49" s="19"/>
      <c r="I49" s="19"/>
      <c r="J49" s="19"/>
      <c r="K49" s="1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</row>
    <row r="50" spans="2:43" s="5" customFormat="1" x14ac:dyDescent="0.55000000000000004">
      <c r="B50" s="8"/>
      <c r="H50" s="19"/>
      <c r="I50" s="19"/>
      <c r="J50" s="19"/>
      <c r="K50" s="19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</row>
    <row r="51" spans="2:43" s="5" customFormat="1" x14ac:dyDescent="0.55000000000000004">
      <c r="B51" s="8"/>
      <c r="H51" s="19"/>
      <c r="I51" s="19"/>
      <c r="J51" s="19"/>
      <c r="K51" s="19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</row>
    <row r="52" spans="2:43" s="5" customFormat="1" x14ac:dyDescent="0.55000000000000004">
      <c r="B52" s="8"/>
      <c r="H52" s="19"/>
      <c r="I52" s="19"/>
      <c r="J52" s="19"/>
      <c r="K52" s="19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 spans="2:43" s="5" customFormat="1" x14ac:dyDescent="0.55000000000000004">
      <c r="B53" s="8"/>
      <c r="H53" s="19"/>
      <c r="I53" s="19"/>
      <c r="J53" s="19"/>
      <c r="K53" s="19"/>
      <c r="AD53" s="1"/>
      <c r="AE53" s="2"/>
      <c r="AF53" s="2"/>
      <c r="AG53"/>
      <c r="AH53"/>
      <c r="AI53"/>
      <c r="AJ53"/>
      <c r="AK53"/>
      <c r="AL53"/>
      <c r="AM53"/>
      <c r="AN53"/>
      <c r="AO53"/>
      <c r="AP53"/>
      <c r="AQ53"/>
    </row>
    <row r="54" spans="2:43" s="5" customFormat="1" x14ac:dyDescent="0.55000000000000004">
      <c r="B54" s="8"/>
      <c r="H54" s="19"/>
      <c r="I54" s="19"/>
      <c r="J54" s="19"/>
      <c r="K54" s="19"/>
      <c r="AD54" s="1"/>
      <c r="AE54" s="2"/>
      <c r="AF54" s="2"/>
      <c r="AG54"/>
      <c r="AH54"/>
      <c r="AI54"/>
      <c r="AJ54"/>
      <c r="AK54"/>
      <c r="AL54"/>
      <c r="AM54"/>
      <c r="AN54"/>
      <c r="AO54"/>
      <c r="AP54"/>
      <c r="AQ54"/>
    </row>
    <row r="55" spans="2:43" s="5" customFormat="1" x14ac:dyDescent="0.55000000000000004">
      <c r="B55" s="8"/>
      <c r="H55" s="19"/>
      <c r="I55" s="19"/>
      <c r="J55" s="19"/>
      <c r="K55" s="19"/>
      <c r="AD55" s="1"/>
      <c r="AE55" s="3"/>
      <c r="AF55" s="3"/>
      <c r="AG55"/>
      <c r="AH55" s="4"/>
      <c r="AI55" s="4"/>
      <c r="AJ55" s="1"/>
      <c r="AK55" s="1"/>
      <c r="AL55"/>
      <c r="AM55"/>
      <c r="AN55"/>
      <c r="AO55"/>
      <c r="AP55"/>
      <c r="AQ55"/>
    </row>
    <row r="56" spans="2:43" s="5" customFormat="1" x14ac:dyDescent="0.55000000000000004">
      <c r="B56" s="8"/>
      <c r="H56" s="19"/>
      <c r="I56" s="19"/>
      <c r="J56" s="19"/>
      <c r="K56" s="19"/>
      <c r="AD56" s="1"/>
      <c r="AE56" s="3"/>
      <c r="AF56" s="3"/>
      <c r="AG56"/>
      <c r="AH56" s="4"/>
      <c r="AI56" s="4"/>
      <c r="AJ56" s="1"/>
      <c r="AK56" s="1"/>
      <c r="AL56"/>
      <c r="AM56"/>
      <c r="AN56"/>
      <c r="AO56"/>
      <c r="AP56"/>
      <c r="AQ56"/>
    </row>
    <row r="57" spans="2:43" s="5" customFormat="1" x14ac:dyDescent="0.55000000000000004">
      <c r="B57" s="8"/>
      <c r="H57" s="19"/>
      <c r="I57" s="19"/>
      <c r="J57" s="19"/>
      <c r="K57" s="19"/>
      <c r="AD57" s="1"/>
      <c r="AE57" s="3"/>
      <c r="AF57" s="3"/>
      <c r="AG57"/>
      <c r="AH57" s="4"/>
      <c r="AI57" s="4"/>
      <c r="AJ57" s="1"/>
      <c r="AK57" s="1"/>
      <c r="AL57"/>
      <c r="AM57"/>
      <c r="AN57"/>
      <c r="AO57"/>
      <c r="AP57"/>
      <c r="AQ57"/>
    </row>
    <row r="58" spans="2:43" s="5" customFormat="1" x14ac:dyDescent="0.55000000000000004">
      <c r="B58" s="8"/>
      <c r="H58" s="19"/>
      <c r="I58" s="19"/>
      <c r="J58" s="19"/>
      <c r="K58" s="19"/>
      <c r="AD58" s="1"/>
      <c r="AE58" s="3"/>
      <c r="AF58" s="3"/>
      <c r="AG58"/>
      <c r="AH58" s="4"/>
      <c r="AI58" s="4"/>
      <c r="AJ58" s="1"/>
      <c r="AK58" s="1"/>
      <c r="AL58"/>
      <c r="AM58"/>
      <c r="AN58"/>
      <c r="AO58"/>
      <c r="AP58"/>
      <c r="AQ58"/>
    </row>
    <row r="59" spans="2:43" s="5" customFormat="1" x14ac:dyDescent="0.55000000000000004">
      <c r="B59" s="8"/>
      <c r="H59" s="19"/>
      <c r="I59" s="19"/>
      <c r="J59" s="19"/>
      <c r="K59" s="19"/>
      <c r="AD59" s="1"/>
      <c r="AE59" s="3"/>
      <c r="AF59" s="3"/>
      <c r="AG59"/>
      <c r="AH59" s="4"/>
      <c r="AI59" s="4"/>
      <c r="AJ59" s="1"/>
      <c r="AK59" s="1"/>
      <c r="AL59"/>
      <c r="AM59"/>
      <c r="AN59"/>
      <c r="AO59"/>
      <c r="AP59"/>
      <c r="AQ59"/>
    </row>
    <row r="60" spans="2:43" s="5" customFormat="1" x14ac:dyDescent="0.55000000000000004">
      <c r="B60" s="8"/>
      <c r="H60" s="19"/>
      <c r="I60" s="19"/>
      <c r="J60" s="19"/>
      <c r="K60" s="19"/>
      <c r="AD60" s="1"/>
      <c r="AE60" s="3"/>
      <c r="AF60" s="3"/>
      <c r="AG60"/>
      <c r="AH60" s="4"/>
      <c r="AI60" s="4"/>
      <c r="AJ60" s="1"/>
      <c r="AK60" s="1"/>
      <c r="AL60"/>
      <c r="AM60"/>
      <c r="AN60"/>
      <c r="AO60"/>
      <c r="AP60"/>
      <c r="AQ60"/>
    </row>
    <row r="61" spans="2:43" s="5" customFormat="1" x14ac:dyDescent="0.55000000000000004">
      <c r="B61" s="8"/>
      <c r="H61" s="19"/>
      <c r="I61" s="19"/>
      <c r="J61" s="19"/>
      <c r="K61" s="19"/>
      <c r="AD61" s="1"/>
      <c r="AE61" s="2"/>
      <c r="AF61" s="2"/>
      <c r="AG61"/>
      <c r="AH61"/>
      <c r="AI61"/>
      <c r="AJ61"/>
      <c r="AK61"/>
      <c r="AL61"/>
      <c r="AM61"/>
      <c r="AN61"/>
      <c r="AO61"/>
      <c r="AP61"/>
      <c r="AQ61"/>
    </row>
    <row r="62" spans="2:43" s="5" customFormat="1" x14ac:dyDescent="0.55000000000000004">
      <c r="B62" s="8"/>
      <c r="H62" s="19"/>
      <c r="I62" s="19"/>
      <c r="J62" s="19"/>
      <c r="K62" s="19"/>
      <c r="AD62" s="1"/>
      <c r="AE62" s="2"/>
      <c r="AF62" s="2"/>
      <c r="AG62"/>
      <c r="AH62"/>
      <c r="AI62"/>
      <c r="AJ62"/>
      <c r="AK62"/>
      <c r="AL62"/>
      <c r="AM62"/>
      <c r="AN62"/>
      <c r="AO62"/>
      <c r="AP62"/>
      <c r="AQ62"/>
    </row>
    <row r="63" spans="2:43" x14ac:dyDescent="0.55000000000000004">
      <c r="L63"/>
      <c r="M63"/>
      <c r="N63"/>
    </row>
    <row r="64" spans="2:43" x14ac:dyDescent="0.55000000000000004">
      <c r="L64"/>
      <c r="M64"/>
      <c r="N64"/>
    </row>
    <row r="65" spans="12:14" x14ac:dyDescent="0.55000000000000004">
      <c r="L65"/>
      <c r="M65"/>
      <c r="N65"/>
    </row>
  </sheetData>
  <mergeCells count="3">
    <mergeCell ref="F2:J2"/>
    <mergeCell ref="F4:F5"/>
    <mergeCell ref="G4:G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DAFE07-E5B5-4B8B-B134-C310003AF7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1.30.23Lag</vt:lpstr>
      <vt:lpstr>2.1.23Lag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Ouimet</dc:creator>
  <cp:lastModifiedBy>Laurianne Lair</cp:lastModifiedBy>
  <cp:lastPrinted>2021-02-02T13:00:26Z</cp:lastPrinted>
  <dcterms:created xsi:type="dcterms:W3CDTF">2021-01-27T16:25:52Z</dcterms:created>
  <dcterms:modified xsi:type="dcterms:W3CDTF">2024-12-09T18:22:27Z</dcterms:modified>
</cp:coreProperties>
</file>