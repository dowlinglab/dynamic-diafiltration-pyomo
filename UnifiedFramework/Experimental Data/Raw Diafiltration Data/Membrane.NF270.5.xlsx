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Diafiltration/"/>
    </mc:Choice>
  </mc:AlternateContent>
  <xr:revisionPtr revIDLastSave="7" documentId="14_{22008B28-0C27-40D7-915B-9DE98139A231}" xr6:coauthVersionLast="47" xr6:coauthVersionMax="47" xr10:uidLastSave="{3A2F1ECF-96D2-4563-8E7C-6ECDA7682B2F}"/>
  <bookViews>
    <workbookView xWindow="-96" yWindow="-96" windowWidth="23232" windowHeight="12432" firstSheet="5" activeTab="11" xr2:uid="{33F3696A-A54A-4511-ACC6-6A12DB6C305D}"/>
  </bookViews>
  <sheets>
    <sheet name="10.25.22Lag" sheetId="9" r:id="rId1"/>
    <sheet name="10.26.22Lag" sheetId="11" r:id="rId2"/>
    <sheet name="11.2.22Lag" sheetId="15" r:id="rId3"/>
    <sheet name="11.2.22LagB" sheetId="17" r:id="rId4"/>
    <sheet name="9.25.23overflow" sheetId="28" r:id="rId5"/>
    <sheet name="9.25.23reverse" sheetId="29" r:id="rId6"/>
    <sheet name="9.26.23reverse" sheetId="30" r:id="rId7"/>
    <sheet name="9.26.23local" sheetId="31" r:id="rId8"/>
    <sheet name="11.14.22local" sheetId="24" r:id="rId9"/>
    <sheet name="1.30.23over" sheetId="25" r:id="rId10"/>
    <sheet name="8.22.23Local" sheetId="26" r:id="rId11"/>
    <sheet name="8.22.23LowP" sheetId="2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7" l="1"/>
  <c r="K7" i="25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6" i="30"/>
  <c r="K9" i="26"/>
  <c r="K11" i="26"/>
  <c r="K12" i="26"/>
  <c r="K13" i="26"/>
  <c r="K14" i="26"/>
  <c r="K15" i="26"/>
  <c r="K16" i="26"/>
  <c r="K17" i="26"/>
  <c r="K18" i="26"/>
  <c r="K19" i="26"/>
  <c r="K10" i="26"/>
  <c r="K7" i="26"/>
  <c r="K8" i="26"/>
  <c r="K6" i="26"/>
  <c r="K6" i="29" l="1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19" i="31"/>
  <c r="K18" i="31"/>
  <c r="K17" i="31"/>
  <c r="K16" i="31"/>
  <c r="K15" i="31"/>
  <c r="K14" i="31"/>
  <c r="K13" i="31"/>
  <c r="K12" i="31"/>
  <c r="K11" i="31"/>
  <c r="K10" i="31"/>
  <c r="K9" i="31"/>
  <c r="K8" i="31"/>
  <c r="K7" i="31"/>
  <c r="K6" i="3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K6" i="11" l="1"/>
  <c r="K8" i="11"/>
  <c r="K9" i="11"/>
  <c r="K10" i="11"/>
  <c r="K11" i="11"/>
  <c r="K7" i="11"/>
  <c r="K8" i="9"/>
  <c r="K9" i="9"/>
  <c r="K7" i="9"/>
  <c r="K7" i="27" l="1"/>
  <c r="K8" i="27"/>
  <c r="K9" i="27"/>
  <c r="K10" i="27"/>
  <c r="K11" i="27"/>
  <c r="K13" i="27"/>
  <c r="K14" i="27"/>
  <c r="K15" i="27"/>
  <c r="K16" i="27"/>
  <c r="K17" i="27"/>
  <c r="K18" i="27"/>
  <c r="K19" i="27"/>
  <c r="K22" i="27"/>
  <c r="K23" i="27"/>
  <c r="K12" i="27"/>
  <c r="K6" i="25"/>
  <c r="N6" i="25" l="1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6" i="17"/>
  <c r="N7" i="15" l="1"/>
  <c r="N8" i="15"/>
  <c r="N9" i="15"/>
  <c r="N10" i="15"/>
  <c r="N11" i="15"/>
  <c r="N12" i="15"/>
  <c r="N13" i="15"/>
  <c r="N14" i="15"/>
  <c r="N15" i="15"/>
  <c r="N16" i="15"/>
  <c r="N17" i="15"/>
  <c r="N18" i="15"/>
  <c r="N19" i="15"/>
  <c r="N6" i="15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K6" i="17"/>
  <c r="K6" i="15"/>
  <c r="K6" i="9" l="1"/>
  <c r="K7" i="17" l="1"/>
  <c r="K8" i="17"/>
  <c r="K9" i="17"/>
  <c r="K10" i="17"/>
  <c r="K11" i="17"/>
  <c r="K12" i="17"/>
  <c r="K13" i="17"/>
  <c r="K14" i="17"/>
  <c r="K15" i="17"/>
  <c r="K16" i="17"/>
  <c r="K17" i="17"/>
  <c r="K18" i="17"/>
  <c r="K19" i="17"/>
  <c r="K6" i="24"/>
  <c r="K19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5"/>
  <c r="K18" i="25"/>
  <c r="K17" i="25"/>
  <c r="K16" i="25"/>
  <c r="K15" i="25"/>
  <c r="K14" i="25"/>
  <c r="K13" i="25"/>
  <c r="K12" i="25"/>
  <c r="K11" i="25"/>
  <c r="K10" i="25"/>
  <c r="K9" i="25"/>
  <c r="K8" i="25"/>
  <c r="K19" i="15" l="1"/>
  <c r="K18" i="15"/>
  <c r="K17" i="15"/>
  <c r="K16" i="15"/>
  <c r="K15" i="15"/>
  <c r="K14" i="15"/>
  <c r="K13" i="15"/>
  <c r="K12" i="15"/>
  <c r="K11" i="15"/>
  <c r="K10" i="15"/>
  <c r="K9" i="15"/>
  <c r="K8" i="15"/>
  <c r="K7" i="15"/>
  <c r="K19" i="11"/>
  <c r="K18" i="11"/>
  <c r="K17" i="11"/>
  <c r="K16" i="11"/>
  <c r="K15" i="11"/>
  <c r="K14" i="11"/>
  <c r="K13" i="11"/>
  <c r="K12" i="11"/>
  <c r="K10" i="9"/>
  <c r="K11" i="9"/>
  <c r="K12" i="9"/>
  <c r="K13" i="9"/>
  <c r="K14" i="9"/>
  <c r="K15" i="9"/>
  <c r="K16" i="9"/>
  <c r="K17" i="9"/>
  <c r="K18" i="9"/>
  <c r="K1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8C4E28-ADD8-4DBD-BE3B-8ACAC39A3F88}" keepAlive="1" name="Query - Exp_01282021_NF90_5_F_SS_KCl" description="Connection to the 'Exp_01282021_NF90_5_F_SS_KCl' query in the workbook." type="5" refreshedVersion="6" background="1" saveData="1">
    <dbPr connection="Provider=Microsoft.Mashup.OleDb.1;Data Source=$Workbook$;Location=Exp_01282021_NF90_5_F_SS_KCl;Extended Properties=&quot;&quot;" command="SELECT * FROM [Exp_01282021_NF90_5_F_SS_KCl]"/>
  </connection>
  <connection id="2" xr16:uid="{3E7FC72F-F0DF-44D5-85D5-D4D8BA0E66EE}" keepAlive="1" name="Query - Exp_01282021_NF90_5_F_SS_KCl (2)" description="Connection to the 'Exp_01282021_NF90_5_F_SS_KCl (2)' query in the workbook." type="5" refreshedVersion="6" background="1" saveData="1">
    <dbPr connection="Provider=Microsoft.Mashup.OleDb.1;Data Source=$Workbook$;Location=&quot;Exp_01282021_NF90_5_F_SS_KCl (2)&quot;;Extended Properties=&quot;&quot;" command="SELECT * FROM [Exp_01282021_NF90_5_F_SS_KCl (2)]"/>
  </connection>
  <connection id="3" xr16:uid="{6781912E-12CD-4338-9971-1FB73E365458}" keepAlive="1" name="Query - Exp_02042021_NF90_6_F_SS_KCl" description="Connection to the 'Exp_02042021_NF90_6_F_SS_KCl' query in the workbook." type="5" refreshedVersion="7" background="1" saveData="1">
    <dbPr connection="Provider=Microsoft.Mashup.OleDb.1;Data Source=$Workbook$;Location=Exp_02042021_NF90_6_F_SS_KCl;Extended Properties=&quot;&quot;" command="SELECT * FROM [Exp_02042021_NF90_6_F_SS_KCl]"/>
  </connection>
  <connection id="4" xr16:uid="{1CD7879D-5593-4C8A-82AF-F2782C6BCD47}" keepAlive="1" name="Query - Exp_02092021_NF90_5_F_SS_MgCl2" description="Connection to the 'Exp_02092021_NF90_5_F_SS_MgCl2' query in the workbook." type="5" refreshedVersion="6" background="1" saveData="1">
    <dbPr connection="Provider=Microsoft.Mashup.OleDb.1;Data Source=$Workbook$;Location=Exp_02092021_NF90_5_F_SS_MgCl2;Extended Properties=&quot;&quot;" command="SELECT * FROM [Exp_02092021_NF90_5_F_SS_MgCl2]"/>
  </connection>
  <connection id="5" xr16:uid="{7A399D69-7643-48BD-B759-ED318B6A81F4}" keepAlive="1" name="Query - Exp_05242021_NF90_6_2_F_SS_KCl" description="Connection to the 'Exp_05242021_NF90_6_2_F_SS_KCl' query in the workbook." type="5" refreshedVersion="7" background="1" saveData="1">
    <dbPr connection="Provider=Microsoft.Mashup.OleDb.1;Data Source=$Workbook$;Location=Exp_05242021_NF90_6_2_F_SS_KCl;Extended Properties=&quot;&quot;" command="SELECT * FROM [Exp_05242021_NF90_6_2_F_SS_KCl]"/>
  </connection>
</connections>
</file>

<file path=xl/sharedStrings.xml><?xml version="1.0" encoding="utf-8"?>
<sst xmlns="http://schemas.openxmlformats.org/spreadsheetml/2006/main" count="624" uniqueCount="221">
  <si>
    <t>Experiment Identifier:</t>
  </si>
  <si>
    <t xml:space="preserve">Experiment Type: </t>
  </si>
  <si>
    <t>Number of Salts:</t>
  </si>
  <si>
    <t>Salts:</t>
  </si>
  <si>
    <t>Initial Concentration (mM):</t>
  </si>
  <si>
    <t>mM</t>
  </si>
  <si>
    <t>Dialysate Concentration (mM):</t>
  </si>
  <si>
    <t>ICP ID</t>
  </si>
  <si>
    <t xml:space="preserve">Empty SC Weight: </t>
  </si>
  <si>
    <t>g</t>
  </si>
  <si>
    <t>Initial SC Weight w/ Solution:</t>
  </si>
  <si>
    <t>Final SC Weight:</t>
  </si>
  <si>
    <t>Initial Pressure:</t>
  </si>
  <si>
    <t>PSI</t>
  </si>
  <si>
    <t>Operating Pressure:</t>
  </si>
  <si>
    <t>Sample ID</t>
  </si>
  <si>
    <t>Sample</t>
  </si>
  <si>
    <t>mL</t>
  </si>
  <si>
    <t>mg/L</t>
  </si>
  <si>
    <t>Final Tube Vial Weight:</t>
  </si>
  <si>
    <t>Final Tube Vial w/ Solution Weight:</t>
  </si>
  <si>
    <t>Nitric Acid Required Volume</t>
  </si>
  <si>
    <t>ICP Data</t>
  </si>
  <si>
    <t>Adjusted Data</t>
  </si>
  <si>
    <t>mmole/L</t>
  </si>
  <si>
    <t>Diafiltration</t>
  </si>
  <si>
    <t>KCl</t>
  </si>
  <si>
    <t>Exp_10252022_NF270_5_Lag_D_SS_KCl</t>
  </si>
  <si>
    <t>Exp_10262022_NF270_5_lag_D_SS_KCl</t>
  </si>
  <si>
    <t>Exp_11022022_NF270_5_Lag_F_SS_KCl</t>
  </si>
  <si>
    <t>Exp_11022022_NF270_5LagB_D_SS_KCl</t>
  </si>
  <si>
    <t>Exp_11142022_NF270_5A_D_SS_KCl</t>
  </si>
  <si>
    <t>Exp_01302023_NF270_5_Bover_D_SS_KCl</t>
  </si>
  <si>
    <t>NF270.5LAG 10.25.22 FEED</t>
  </si>
  <si>
    <t>NF270.5LAG 10.25.22 DIAFILTRATE</t>
  </si>
  <si>
    <t>NF270.5LAG 10.25.22 FINAL TUBE</t>
  </si>
  <si>
    <t>NF270.5LAG 10.25.22 RETENTATE</t>
  </si>
  <si>
    <t>NF270.5LAG 10.25.22 PERM 1</t>
  </si>
  <si>
    <t>NF270.5LAG 10.25.22 PERM 2</t>
  </si>
  <si>
    <t>NF270.5LAG 10.25.22 PERM 3</t>
  </si>
  <si>
    <t>NF270.5LAG 10.25.22 PERM 4</t>
  </si>
  <si>
    <t>NF270.5LAG 10.25.22 PERM 5</t>
  </si>
  <si>
    <t>NF270.5LAG 10.25.22 PERM 6</t>
  </si>
  <si>
    <t>NF270.5LAG 10.25.22 PERM 7</t>
  </si>
  <si>
    <t>NF270.5LAG 10.25.22 PERM 8</t>
  </si>
  <si>
    <t>NF270.5LAG 10.25.22 PERM 9</t>
  </si>
  <si>
    <t>NF270.5LAG 10.25.22 PERM 10</t>
  </si>
  <si>
    <t>ICP Data - ICP Run 6.27.23</t>
  </si>
  <si>
    <t>NF270.5LAG 10.26.22 FEED</t>
  </si>
  <si>
    <t>NF270.5LAG 10.26.22 DIAFILTRATE</t>
  </si>
  <si>
    <t>NF270.5LAG 10.26.22 FINAL TUBE</t>
  </si>
  <si>
    <t>NF270.5LAG 10.26.22 RETENTATE</t>
  </si>
  <si>
    <t>NF270.5LAG 10.26.22 PERM 1</t>
  </si>
  <si>
    <t>NF270.5LAG 10.26.22 PERM 2</t>
  </si>
  <si>
    <t>NF270.5LAG 10.26.22 PERM 3</t>
  </si>
  <si>
    <t>NF270.5LAG 10.26.22 PERM 4</t>
  </si>
  <si>
    <t>NF270.5LAG 10.26.22 PERM 5</t>
  </si>
  <si>
    <t>NF270.5LAG 10.26.22 PERM 6</t>
  </si>
  <si>
    <t>NF270.5LAG 10.26.22 PERM 7</t>
  </si>
  <si>
    <t>NF270.5LAG 10.26.22 PERM 8</t>
  </si>
  <si>
    <t>NF270.5LAG 10.26.22 PERM 9</t>
  </si>
  <si>
    <t>NF270.5LAG 10.26.22 PERM 10</t>
  </si>
  <si>
    <t>NF270.5LAG 11.2.22 FEED</t>
  </si>
  <si>
    <t>NF270.5LAG 11.2.22 DIAFILTRATE</t>
  </si>
  <si>
    <t>NF270.5LAG 11.2.22 FINAL TUBE</t>
  </si>
  <si>
    <t>NF270.5LAG 11.2.22 RETENTATE</t>
  </si>
  <si>
    <t>NF270.5LAG 11.2.22 PERM 1</t>
  </si>
  <si>
    <t>NF270.5LAG 11.2.22 PERM 2</t>
  </si>
  <si>
    <t>NF270.5LAG 11.2.22 PERM 3</t>
  </si>
  <si>
    <t>NF270.5LAG 11.2.22 PERM 4</t>
  </si>
  <si>
    <t>NF270.5LAG 11.2.22 PERM 5</t>
  </si>
  <si>
    <t>NF270.5LAG 11.2.22 PERM 6</t>
  </si>
  <si>
    <t>NF270.5LAG 11.2.22 PERM 7</t>
  </si>
  <si>
    <t>NF270.5LAG 11.2.22 PERM 8</t>
  </si>
  <si>
    <t>NF270.5LAG 11.2.22 PERM 9</t>
  </si>
  <si>
    <t>NF270.5LAG 11.2.22 PERM 10</t>
  </si>
  <si>
    <t>NF270.5LAGB 11.2.22 FEED</t>
  </si>
  <si>
    <t>NF270.5LAGB 11.2.22 DIAFILTRATE</t>
  </si>
  <si>
    <t>NF270.5LAGB 11.2.22 FINAL TUBE</t>
  </si>
  <si>
    <t>NF270.5LAGB 11.2.22 RETENTATE</t>
  </si>
  <si>
    <t>NF270.5LAGB 11.2.22 PERM 1</t>
  </si>
  <si>
    <t>NF270.5LAGB 11.2.22 PERM 2</t>
  </si>
  <si>
    <t>NF270.5LAGB 11.2.22 PERM 3</t>
  </si>
  <si>
    <t>NF270.5LAGB 11.2.22 PERM 4</t>
  </si>
  <si>
    <t>NF270.5LAGB 11.2.22 PERM 5</t>
  </si>
  <si>
    <t>NF270.5LAGB 11.2.22 PERM 6</t>
  </si>
  <si>
    <t>NF270.5LAGB 11.2.22 PERM 7</t>
  </si>
  <si>
    <t>NF270.5LAGB 11.2.22 PERM 8</t>
  </si>
  <si>
    <t>NF270.5LAGB 11.2.22 PERM 9</t>
  </si>
  <si>
    <t>NF270.5LAGB 11.2.22 PERM 10</t>
  </si>
  <si>
    <t>NF270.5OVER 1.30.23 FEED</t>
  </si>
  <si>
    <t>NF270.5OVER 1.30.23 DIAFILTRATE</t>
  </si>
  <si>
    <t>NF270.5OVER 1.30.23 FINAL TUBE</t>
  </si>
  <si>
    <t>NF270.5OVER 1.30.23 RETENTATE</t>
  </si>
  <si>
    <t>NF270.5OVER 1.30.23 PERM 1</t>
  </si>
  <si>
    <t>NF270.5OVER 1.30.23 PERM 2</t>
  </si>
  <si>
    <t>NF270.5OVER 1.30.23 PERM 3</t>
  </si>
  <si>
    <t>NF270.5OVER 1.30.23 PERM 4</t>
  </si>
  <si>
    <t>NF270.5OVER 1.30.23 PERM 5</t>
  </si>
  <si>
    <t>NF270.5OVER 1.30.23 PERM 6</t>
  </si>
  <si>
    <t>NF270.5OVER 1.30.23 PERM 7</t>
  </si>
  <si>
    <t>NF270.5OVER 1.30.23 PERM 8</t>
  </si>
  <si>
    <t>NF270.5OVER 1.30.23 PERM 9</t>
  </si>
  <si>
    <t>NF270.5OVER 1.30.23 PERM 10</t>
  </si>
  <si>
    <t>NF270.5 11.14.22 FEED</t>
  </si>
  <si>
    <t>NF270.5 11.14.22 DIAFILTRATE</t>
  </si>
  <si>
    <t>NF270.5 11.14.22 FINAL TUBE</t>
  </si>
  <si>
    <t>NF270.5 11.14.22 RETENTATE</t>
  </si>
  <si>
    <t>NF270.5 11.14.22 PERM 1</t>
  </si>
  <si>
    <t>NF270.5 11.14.22 PERM 2</t>
  </si>
  <si>
    <t>NF270.5 11.14.22 PERM 3</t>
  </si>
  <si>
    <t>NF270.5 11.14.22 PERM 4</t>
  </si>
  <si>
    <t>NF270.5 11.14.22 PERM 5</t>
  </si>
  <si>
    <t>NF270.5 11.14.22 PERM 6</t>
  </si>
  <si>
    <t>NF270.5 11.14.22 PERM 7</t>
  </si>
  <si>
    <t>NF270.5 11.14.22 PERM 8</t>
  </si>
  <si>
    <t>NF270.5 11.14.22 PERM 9</t>
  </si>
  <si>
    <t>NF270.5 11.14.22 PERM 10</t>
  </si>
  <si>
    <t>IC Data</t>
  </si>
  <si>
    <t>ICP Data - ICP Run 8.25.23</t>
  </si>
  <si>
    <t>NF270.5LOCAL 8.25.23 FEED</t>
  </si>
  <si>
    <t>NF270.5 8.25.23LOCAL DIAFILTRATE</t>
  </si>
  <si>
    <t>NF270.5 8.25.23LOCAL FINAL TUBE</t>
  </si>
  <si>
    <t>NF270.5 8.25.23LOCAL RETENTATE</t>
  </si>
  <si>
    <t>NF270.5 8.25.23LOCAL PERM 1</t>
  </si>
  <si>
    <t>NF270.5 8.25.23LOCAL PERM 2</t>
  </si>
  <si>
    <t>NF270.5 8.25.23LOCAL PERM 3</t>
  </si>
  <si>
    <t>NF270.5 8.25.23LOCAL PERM 4</t>
  </si>
  <si>
    <t>NF270.5 8.25.23LOCAL PERM 5</t>
  </si>
  <si>
    <t>NF270.5 8.25.23LOCAL PERM 6</t>
  </si>
  <si>
    <t>NF270.5 8.25.23LOCAL PERM 7</t>
  </si>
  <si>
    <t>NF270.5 8.25.23LOCAL PERM 8</t>
  </si>
  <si>
    <t>NF270.5 8.25.23LOCAL PERM 9</t>
  </si>
  <si>
    <t>NF270.5 8.25.23LOCAL PERM 10</t>
  </si>
  <si>
    <t>NF270.5 GLOBAL LOWP 8.22.23 FEED</t>
  </si>
  <si>
    <t>NF270.5 GLOBAL LOWP 8.22.23 DIAFILTRATE</t>
  </si>
  <si>
    <t>NF270.5 GLOBAL LOWP 8.22.23 FINAL TUBE</t>
  </si>
  <si>
    <t>NF270.5 GLOBAL LOWP 8.22.23 RETENTATE</t>
  </si>
  <si>
    <t>NF270.5 GLOBAL LOWP 8.22.23 PERM 1</t>
  </si>
  <si>
    <t>NF270.5 GLOBAL LOWP 8.22.23 PERM 2</t>
  </si>
  <si>
    <t>NF270.5 GLOBAL LOWP 8.22.23 PERM 3</t>
  </si>
  <si>
    <t>NF270.5 GLOBAL LOWP 8.22.23 PERM 4</t>
  </si>
  <si>
    <t>NF270.5 GLOBAL LOWP 8.22.23 PERM 5</t>
  </si>
  <si>
    <t>NF270.5 GLOBAL LOWP 8.22.23 PERM 6</t>
  </si>
  <si>
    <t>NF270.5 GLOBAL LOWP 8.22.23 PERM 7</t>
  </si>
  <si>
    <t>NF270.5 GLOBAL LOWP 8.22.23 PERM 8</t>
  </si>
  <si>
    <t>NF270.5 GLOBAL LOWP 8.22.23 PERM 9</t>
  </si>
  <si>
    <t>NF270.5 GLOBAL LOWP 8.22.23 PERM 10</t>
  </si>
  <si>
    <t>NF270.5 GLOBAL LOWP 8.22.23 DILUTE DIAFILTRATE</t>
  </si>
  <si>
    <t>NF270.5 GLOBAL LOWP 8.22.23 DILUTE RETENTATE</t>
  </si>
  <si>
    <t>aimed for 12</t>
  </si>
  <si>
    <t>Exp_08222023_NF270_5_local_D_SS_KCl</t>
  </si>
  <si>
    <t>Exp_08222023_NF270_5_lowP_D_SS_KCl</t>
  </si>
  <si>
    <t>Running Checks</t>
  </si>
  <si>
    <t>aimed for 10 (assuming retentate was 100mM)</t>
  </si>
  <si>
    <t>ICP Data - ICP Run 9.27.23</t>
  </si>
  <si>
    <t>NF270.5OVER 9.25.23 FEED</t>
  </si>
  <si>
    <t>NF270.5OVER 9.25.23 DIAFILTRATE</t>
  </si>
  <si>
    <t>NF270.5OVER 9.25.23 FINAL TUBE</t>
  </si>
  <si>
    <t>NF270.5OVER 9.25.23 RETENTATE</t>
  </si>
  <si>
    <t>NF270.5OVER 9.25.23 PERM 1</t>
  </si>
  <si>
    <t>NF270.5OVER 9.25.23 PERM 2</t>
  </si>
  <si>
    <t>NF270.5OVER 9.25.23 PERM 3</t>
  </si>
  <si>
    <t>NF270.5OVER 9.25.23 PERM 4</t>
  </si>
  <si>
    <t>NF270.5OVER 9.25.23 PERM 5</t>
  </si>
  <si>
    <t>NF270.5OVER 9.25.23 PERM 6</t>
  </si>
  <si>
    <t>NF270.5OVER 9.25.23 PERM 7</t>
  </si>
  <si>
    <t>NF270.5OVER 9.25.23 PERM 8</t>
  </si>
  <si>
    <t>NF270.5OVER 9.25.23 PERM 9</t>
  </si>
  <si>
    <t>NF270.5OVER 9.25.23 PERM 10</t>
  </si>
  <si>
    <t>NF270.5REV 9.25.23 FEED</t>
  </si>
  <si>
    <t>NF270.5REV 9.25.23 DIAFILTRATE</t>
  </si>
  <si>
    <t>NF270.5REV 9.25.23 FINAL TUBE</t>
  </si>
  <si>
    <t>NF270.5REV 9.25.23 RETENTATE</t>
  </si>
  <si>
    <t>NF270.5REV 9.25.23 PERM 1</t>
  </si>
  <si>
    <t>NF270.5REV 9.25.23 PERM 2</t>
  </si>
  <si>
    <t>NF270.5REV 9.25.23 PERM 3</t>
  </si>
  <si>
    <t>NF270.5REV 9.25.23 PERM 4</t>
  </si>
  <si>
    <t>NF270.5REV 9.25.23 PERM 5</t>
  </si>
  <si>
    <t>NF270.5REV 9.25.23 PERM 6</t>
  </si>
  <si>
    <t>NF270.5REV 9.25.23 PERM 7</t>
  </si>
  <si>
    <t>NF270.5REV 9.25.23 PERM 8</t>
  </si>
  <si>
    <t>NF270.5REV 9.25.23 PERM 9</t>
  </si>
  <si>
    <t>NF270.5REV 9.25.23 PERM 10</t>
  </si>
  <si>
    <t>NF270.5REV 9.26.23 FEED</t>
  </si>
  <si>
    <t>NF270.5REV 9.26.23 DIAFILTRATE</t>
  </si>
  <si>
    <t>NF270.5REV 9.26.23 FINAL TUBE</t>
  </si>
  <si>
    <t>NF270.5REV 9.26.23 RETENTATE</t>
  </si>
  <si>
    <t>NF270.5REV 9.26.23 PERM 1</t>
  </si>
  <si>
    <t>NF270.5REV 9.26.23 PERM 2</t>
  </si>
  <si>
    <t>NF270.5REV 9.26.23 PERM 3</t>
  </si>
  <si>
    <t>NF270.5REV 9.26.23 PERM 4</t>
  </si>
  <si>
    <t>NF270.5REV 9.26.23 PERM 5</t>
  </si>
  <si>
    <t>NF270.5REV 9.26.23 PERM 6</t>
  </si>
  <si>
    <t>NF270.5REV 9.26.23 PERM 7</t>
  </si>
  <si>
    <t>NF270.5REV 9.26.23 PERM 8</t>
  </si>
  <si>
    <t>NF270.5REV 9.26.23 PERM 9</t>
  </si>
  <si>
    <t>NF270.5REV 9.26.23 PERM 10</t>
  </si>
  <si>
    <t>NF270.5LOCAL 9.26.23 FEED</t>
  </si>
  <si>
    <t>NF270.5 LOCAL 9.26.23 DIAFILTRATE</t>
  </si>
  <si>
    <t>NF270.5 LOCAL 9.26.23 FINAL TUBE</t>
  </si>
  <si>
    <t>NF270.5LOCAL 9.26.23 RETENTATE</t>
  </si>
  <si>
    <t>NF270.5LOCAL 9.26.23 PERM 1</t>
  </si>
  <si>
    <t>NF270.5LOCAL 9.26.23 PERM 2</t>
  </si>
  <si>
    <t>NF270.5LOCAL 9.26.23 PERM 3</t>
  </si>
  <si>
    <t>NF270.5LOCAL 9.26.23 PERM 4</t>
  </si>
  <si>
    <t>NF270.5LOCAL 9.26.23 PERM 5</t>
  </si>
  <si>
    <t>NF270.5LOCAL 9.26.23 PERM 6</t>
  </si>
  <si>
    <t>NF270.5LOCAL 9.26.23 PERM 7</t>
  </si>
  <si>
    <t>NF270.5LOCAL 9.26.23 PERM 8</t>
  </si>
  <si>
    <t>NF270.5LOCAL 9.26.23 PERM 9</t>
  </si>
  <si>
    <t>NF270.5LOCAL 9.26.23 PERM 10</t>
  </si>
  <si>
    <t>ICP Data - ICP Run 8.25.23 and 9.28.23</t>
  </si>
  <si>
    <t>Exp_09252023_NF270_5_overflow_D_SS_KCl</t>
  </si>
  <si>
    <t>Exp_09252023_NF270_5_reverse_D_SS_KCl</t>
  </si>
  <si>
    <t>Exp_09262023_NF270_5_reverse_D_SS_KCl</t>
  </si>
  <si>
    <t>Exp_09262023_NF270_5_local_D_SS_KCl</t>
  </si>
  <si>
    <t>*previously 11.2.22overflow</t>
  </si>
  <si>
    <t>*previously 11.2.22Rev</t>
  </si>
  <si>
    <t>*previously 11.3.22RevB</t>
  </si>
  <si>
    <t>*previously 11.3.22B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</si>
</sst>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8"/>
      <color indexed="64"/>
      <name val="Tahoma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color indexed="64"/>
      <name val="Tahoma"/>
      <family val="2"/>
    </font>
    <font>
      <sz val="8"/>
      <color indexed="64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11"/>
        <bgColor indexed="1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1"/>
        <bgColor indexed="12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8" fillId="0" borderId="0"/>
  </cellStyleXfs>
  <cellXfs count="39">
    <xf numFmtId="0" fontId="0" fillId="0" borderId="0" xfId="0"/>
    <xf numFmtId="10" fontId="0" fillId="0" borderId="0" xfId="1" applyNumberFormat="1" applyFont="1" applyFill="1" applyBorder="1"/>
    <xf numFmtId="0" fontId="0" fillId="0" borderId="0" xfId="1" applyNumberFormat="1" applyFont="1" applyFill="1" applyBorder="1"/>
    <xf numFmtId="2" fontId="0" fillId="0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/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0" borderId="0" xfId="0" applyFont="1"/>
    <xf numFmtId="164" fontId="9" fillId="0" borderId="1" xfId="0" applyNumberFormat="1" applyFont="1" applyBorder="1" applyAlignment="1">
      <alignment horizontal="left" vertical="center"/>
    </xf>
    <xf numFmtId="164" fontId="9" fillId="3" borderId="1" xfId="0" applyNumberFormat="1" applyFont="1" applyFill="1" applyBorder="1" applyAlignment="1">
      <alignment horizontal="left" vertical="center"/>
    </xf>
    <xf numFmtId="2" fontId="1" fillId="0" borderId="0" xfId="0" applyNumberFormat="1" applyFont="1"/>
    <xf numFmtId="0" fontId="0" fillId="4" borderId="0" xfId="0" applyFill="1"/>
    <xf numFmtId="164" fontId="4" fillId="0" borderId="1" xfId="0" applyNumberFormat="1" applyFont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4">
    <cellStyle name="Normal" xfId="0" builtinId="0"/>
    <cellStyle name="Normal 2" xfId="2" xr:uid="{83303842-9C25-4C4A-B97F-6B3C5C19EE0C}"/>
    <cellStyle name="Normal 3" xfId="3" xr:uid="{77C6C618-D196-42B8-8C19-83F54457D9B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F63E-902E-4A63-BE34-E92E1980CCA3}">
  <sheetPr codeName="Sheet1"/>
  <dimension ref="B1:AL62"/>
  <sheetViews>
    <sheetView zoomScale="80" zoomScaleNormal="80" workbookViewId="0">
      <selection activeCell="C3" sqref="C3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2.68359375" bestFit="1" customWidth="1"/>
    <col min="4" max="4" width="13.26171875" customWidth="1"/>
    <col min="5" max="5" width="15.83984375" customWidth="1"/>
    <col min="6" max="6" width="28.47265625" bestFit="1" customWidth="1"/>
    <col min="7" max="7" width="9.05078125"/>
    <col min="8" max="8" width="12.734375" style="7" customWidth="1"/>
    <col min="9" max="9" width="16.05078125" style="7" customWidth="1"/>
    <col min="10" max="10" width="8.41796875" style="7" customWidth="1"/>
    <col min="11" max="11" width="12.41796875" style="7" customWidth="1"/>
    <col min="12" max="12" width="9.05078125"/>
    <col min="13" max="13" width="18" customWidth="1"/>
    <col min="14" max="15" width="15.734375" customWidth="1"/>
    <col min="16" max="16" width="14.7890625" customWidth="1"/>
    <col min="17" max="19" width="9.05078125"/>
  </cols>
  <sheetData>
    <row r="1" spans="2:11" s="5" customFormat="1" x14ac:dyDescent="0.55000000000000004">
      <c r="H1" s="19"/>
      <c r="I1" s="19"/>
      <c r="J1" s="19"/>
      <c r="K1" s="19"/>
    </row>
    <row r="2" spans="2:11" s="5" customFormat="1" x14ac:dyDescent="0.55000000000000004">
      <c r="B2" s="8"/>
      <c r="F2" s="36" t="s">
        <v>47</v>
      </c>
      <c r="G2" s="36"/>
      <c r="H2" s="36"/>
      <c r="I2" s="36"/>
      <c r="J2" s="36"/>
      <c r="K2" s="19"/>
    </row>
    <row r="3" spans="2:11" s="5" customFormat="1" x14ac:dyDescent="0.55000000000000004">
      <c r="B3" s="8" t="s">
        <v>0</v>
      </c>
      <c r="C3" s="5" t="s">
        <v>27</v>
      </c>
      <c r="F3" s="16"/>
      <c r="G3" s="22"/>
      <c r="H3" s="22"/>
      <c r="I3" s="22"/>
      <c r="J3" s="22"/>
    </row>
    <row r="4" spans="2:11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</row>
    <row r="5" spans="2:11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</row>
    <row r="6" spans="2:11" s="5" customFormat="1" x14ac:dyDescent="0.55000000000000004">
      <c r="B6" s="8" t="s">
        <v>2</v>
      </c>
      <c r="C6" s="5">
        <v>1</v>
      </c>
      <c r="F6" t="s">
        <v>33</v>
      </c>
      <c r="G6" s="24">
        <v>1</v>
      </c>
      <c r="H6">
        <v>5</v>
      </c>
      <c r="I6">
        <v>0.12</v>
      </c>
      <c r="J6" s="33">
        <v>15.772499784728382</v>
      </c>
      <c r="K6" s="29">
        <f>(J6*(H6+I6)/I6)/39.098</f>
        <v>17.212133378052016</v>
      </c>
    </row>
    <row r="7" spans="2:11" s="5" customFormat="1" x14ac:dyDescent="0.55000000000000004">
      <c r="B7" s="8" t="s">
        <v>3</v>
      </c>
      <c r="C7" s="5" t="s">
        <v>26</v>
      </c>
      <c r="F7" t="s">
        <v>34</v>
      </c>
      <c r="G7" s="25">
        <v>2</v>
      </c>
      <c r="H7">
        <v>5</v>
      </c>
      <c r="I7">
        <v>1.2E-2</v>
      </c>
      <c r="J7" s="34">
        <v>12.031854436674886</v>
      </c>
      <c r="K7" s="29">
        <f>(J7*(H7+I7)/I7)/39.098</f>
        <v>128.53098717030394</v>
      </c>
    </row>
    <row r="8" spans="2:11" s="5" customFormat="1" x14ac:dyDescent="0.55000000000000004">
      <c r="B8" s="8" t="s">
        <v>4</v>
      </c>
      <c r="C8" s="5">
        <v>15</v>
      </c>
      <c r="D8" s="5" t="s">
        <v>5</v>
      </c>
      <c r="F8" t="s">
        <v>35</v>
      </c>
      <c r="G8" s="24">
        <v>3</v>
      </c>
      <c r="H8">
        <v>5</v>
      </c>
      <c r="I8">
        <v>1.2E-2</v>
      </c>
      <c r="J8" s="33">
        <v>7.5204118883137134</v>
      </c>
      <c r="K8" s="29">
        <f t="shared" ref="K8:K9" si="0">(J8*(H8+I8)/I8)/39.098</f>
        <v>80.337238870335071</v>
      </c>
    </row>
    <row r="9" spans="2:11" s="5" customFormat="1" x14ac:dyDescent="0.55000000000000004">
      <c r="B9" s="8" t="s">
        <v>6</v>
      </c>
      <c r="C9" s="5">
        <v>120</v>
      </c>
      <c r="D9" s="5" t="s">
        <v>5</v>
      </c>
      <c r="F9" t="s">
        <v>36</v>
      </c>
      <c r="G9" s="25">
        <v>4</v>
      </c>
      <c r="H9">
        <v>5</v>
      </c>
      <c r="I9">
        <v>1.2E-2</v>
      </c>
      <c r="J9" s="34">
        <v>9.233049580990814</v>
      </c>
      <c r="K9" s="29">
        <f t="shared" si="0"/>
        <v>98.632590967837146</v>
      </c>
    </row>
    <row r="10" spans="2:11" s="5" customFormat="1" x14ac:dyDescent="0.55000000000000004">
      <c r="B10" s="8"/>
      <c r="F10" t="s">
        <v>37</v>
      </c>
      <c r="G10" s="24">
        <v>5</v>
      </c>
      <c r="H10">
        <v>5</v>
      </c>
      <c r="I10">
        <v>2.5000000000000001E-2</v>
      </c>
      <c r="J10" s="33">
        <v>2.0677792593684656</v>
      </c>
      <c r="K10" s="29">
        <f t="shared" ref="K10:K19" si="1">(J10*(H10+I10)/I10)/39.098</f>
        <v>10.630304136607029</v>
      </c>
    </row>
    <row r="11" spans="2:11" s="5" customFormat="1" x14ac:dyDescent="0.55000000000000004">
      <c r="B11" s="8" t="s">
        <v>8</v>
      </c>
      <c r="C11" s="5">
        <v>31.54</v>
      </c>
      <c r="D11" s="5" t="s">
        <v>9</v>
      </c>
      <c r="F11" t="s">
        <v>38</v>
      </c>
      <c r="G11" s="25">
        <v>6</v>
      </c>
      <c r="H11">
        <v>5</v>
      </c>
      <c r="I11">
        <v>2.5000000000000001E-2</v>
      </c>
      <c r="J11" s="34">
        <v>2.7662482464755995</v>
      </c>
      <c r="K11" s="29">
        <f t="shared" si="1"/>
        <v>14.221082856964438</v>
      </c>
    </row>
    <row r="12" spans="2:11" s="5" customFormat="1" x14ac:dyDescent="0.55000000000000004">
      <c r="B12" s="8" t="s">
        <v>10</v>
      </c>
      <c r="C12" s="5">
        <v>41.63</v>
      </c>
      <c r="D12" s="5" t="s">
        <v>9</v>
      </c>
      <c r="F12" t="s">
        <v>39</v>
      </c>
      <c r="G12" s="24">
        <v>7</v>
      </c>
      <c r="H12">
        <v>5</v>
      </c>
      <c r="I12">
        <v>2.5000000000000001E-2</v>
      </c>
      <c r="J12" s="33">
        <v>4.6142552241555252</v>
      </c>
      <c r="K12" s="29">
        <f t="shared" si="1"/>
        <v>23.72155353356337</v>
      </c>
    </row>
    <row r="13" spans="2:11" s="5" customFormat="1" x14ac:dyDescent="0.55000000000000004">
      <c r="B13" s="8" t="s">
        <v>11</v>
      </c>
      <c r="C13" s="5">
        <v>40.96</v>
      </c>
      <c r="D13" s="5" t="s">
        <v>9</v>
      </c>
      <c r="F13" t="s">
        <v>40</v>
      </c>
      <c r="G13" s="25">
        <v>8</v>
      </c>
      <c r="H13">
        <v>5</v>
      </c>
      <c r="I13">
        <v>2.5000000000000001E-2</v>
      </c>
      <c r="J13" s="34">
        <v>6.1411855388618788</v>
      </c>
      <c r="K13" s="29">
        <f t="shared" si="1"/>
        <v>31.571392227511318</v>
      </c>
    </row>
    <row r="14" spans="2:11" s="5" customFormat="1" x14ac:dyDescent="0.55000000000000004">
      <c r="B14" s="8"/>
      <c r="F14" t="s">
        <v>41</v>
      </c>
      <c r="G14" s="24">
        <v>9</v>
      </c>
      <c r="H14">
        <v>5</v>
      </c>
      <c r="I14">
        <v>2.5000000000000001E-2</v>
      </c>
      <c r="J14" s="33">
        <v>7.9603761730530094</v>
      </c>
      <c r="K14" s="29">
        <f t="shared" si="1"/>
        <v>40.923720159180903</v>
      </c>
    </row>
    <row r="15" spans="2:11" s="5" customFormat="1" x14ac:dyDescent="0.55000000000000004">
      <c r="B15" s="8" t="s">
        <v>12</v>
      </c>
      <c r="C15" s="5">
        <v>12.874000000000001</v>
      </c>
      <c r="D15" s="5" t="s">
        <v>13</v>
      </c>
      <c r="F15" t="s">
        <v>42</v>
      </c>
      <c r="G15" s="25">
        <v>10</v>
      </c>
      <c r="H15">
        <v>5</v>
      </c>
      <c r="I15">
        <v>2.5000000000000001E-2</v>
      </c>
      <c r="J15" s="34">
        <v>9.4870620034250397</v>
      </c>
      <c r="K15" s="29">
        <f t="shared" si="1"/>
        <v>48.772301976787382</v>
      </c>
    </row>
    <row r="16" spans="2:11" s="5" customFormat="1" x14ac:dyDescent="0.55000000000000004">
      <c r="B16" s="8" t="s">
        <v>14</v>
      </c>
      <c r="C16" s="5">
        <v>58.796999999999997</v>
      </c>
      <c r="D16" s="5" t="s">
        <v>13</v>
      </c>
      <c r="F16" t="s">
        <v>43</v>
      </c>
      <c r="G16" s="24">
        <v>11</v>
      </c>
      <c r="H16">
        <v>5</v>
      </c>
      <c r="I16">
        <v>2.5000000000000001E-2</v>
      </c>
      <c r="J16" s="28">
        <v>11.091356778005682</v>
      </c>
      <c r="K16" s="29">
        <f t="shared" si="1"/>
        <v>57.019865782882555</v>
      </c>
    </row>
    <row r="17" spans="2:15" s="5" customFormat="1" x14ac:dyDescent="0.55000000000000004">
      <c r="B17" s="8"/>
      <c r="F17" t="s">
        <v>44</v>
      </c>
      <c r="G17" s="25">
        <v>12</v>
      </c>
      <c r="H17">
        <v>5</v>
      </c>
      <c r="I17">
        <v>2.5000000000000001E-2</v>
      </c>
      <c r="J17" s="27">
        <v>12.044256147327244</v>
      </c>
      <c r="K17" s="29">
        <f t="shared" si="1"/>
        <v>61.918652760058727</v>
      </c>
    </row>
    <row r="18" spans="2:15" s="5" customFormat="1" ht="13.9" customHeight="1" x14ac:dyDescent="0.55000000000000004">
      <c r="B18" s="21" t="s">
        <v>19</v>
      </c>
      <c r="C18" s="16">
        <v>2.79</v>
      </c>
      <c r="D18" s="9" t="s">
        <v>9</v>
      </c>
      <c r="F18" t="s">
        <v>45</v>
      </c>
      <c r="G18" s="24">
        <v>13</v>
      </c>
      <c r="H18">
        <v>5</v>
      </c>
      <c r="I18">
        <v>2.5000000000000001E-2</v>
      </c>
      <c r="J18" s="28">
        <v>12.868699849297586</v>
      </c>
      <c r="K18" s="29">
        <f t="shared" si="1"/>
        <v>66.157058409862785</v>
      </c>
    </row>
    <row r="19" spans="2:15" s="12" customFormat="1" ht="13.9" customHeight="1" x14ac:dyDescent="0.55000000000000004">
      <c r="B19" s="21" t="s">
        <v>20</v>
      </c>
      <c r="C19" s="16">
        <v>3.54</v>
      </c>
      <c r="D19" s="9" t="s">
        <v>9</v>
      </c>
      <c r="F19" t="s">
        <v>46</v>
      </c>
      <c r="G19" s="25">
        <v>14</v>
      </c>
      <c r="H19">
        <v>5</v>
      </c>
      <c r="I19">
        <v>2.5000000000000001E-2</v>
      </c>
      <c r="J19" s="27">
        <v>14.760031214845995</v>
      </c>
      <c r="K19" s="29">
        <f t="shared" si="1"/>
        <v>75.88025664187542</v>
      </c>
    </row>
    <row r="20" spans="2:15" s="5" customFormat="1" ht="13.9" customHeight="1" x14ac:dyDescent="0.55000000000000004">
      <c r="K20" s="29"/>
      <c r="L20" s="19"/>
      <c r="N20" s="19"/>
      <c r="O20" s="19"/>
    </row>
    <row r="21" spans="2:15" s="5" customFormat="1" ht="13.9" customHeight="1" x14ac:dyDescent="0.55000000000000004">
      <c r="L21" s="19"/>
      <c r="N21" s="19"/>
      <c r="O21" s="19"/>
    </row>
    <row r="22" spans="2:15" s="5" customFormat="1" ht="13.9" customHeight="1" x14ac:dyDescent="0.55000000000000004">
      <c r="L22" s="19"/>
      <c r="M22" s="10"/>
      <c r="N22" s="14"/>
      <c r="O22" s="10"/>
    </row>
    <row r="23" spans="2:15" s="5" customFormat="1" ht="13.9" customHeight="1" x14ac:dyDescent="0.55000000000000004">
      <c r="I23" s="34">
        <v>14.617528505180028</v>
      </c>
      <c r="L23" s="19"/>
      <c r="M23" s="10"/>
      <c r="N23" s="14"/>
      <c r="O23" s="10"/>
    </row>
    <row r="24" spans="2:15" s="5" customFormat="1" ht="13.9" customHeight="1" x14ac:dyDescent="0.55000000000000004">
      <c r="I24" s="33">
        <v>8.5259138128256406</v>
      </c>
      <c r="L24" s="19"/>
      <c r="M24" s="10"/>
      <c r="N24" s="14"/>
      <c r="O24" s="10"/>
    </row>
    <row r="25" spans="2:15" s="5" customFormat="1" ht="13.9" customHeight="1" x14ac:dyDescent="0.55000000000000004">
      <c r="I25" s="34">
        <v>11.122340143996363</v>
      </c>
      <c r="L25" s="19"/>
      <c r="M25" s="10"/>
      <c r="N25" s="14"/>
      <c r="O25" s="10"/>
    </row>
    <row r="26" spans="2:15" s="5" customFormat="1" ht="13.9" customHeight="1" x14ac:dyDescent="0.55000000000000004">
      <c r="L26" s="19"/>
      <c r="M26" s="10"/>
      <c r="N26" s="14"/>
      <c r="O26" s="10"/>
    </row>
    <row r="27" spans="2:15" s="5" customFormat="1" ht="13.9" customHeight="1" x14ac:dyDescent="0.55000000000000004">
      <c r="L27" s="19"/>
      <c r="M27" s="10"/>
      <c r="N27" s="14"/>
      <c r="O27" s="10"/>
    </row>
    <row r="28" spans="2:15" s="5" customFormat="1" ht="13.9" customHeight="1" x14ac:dyDescent="0.55000000000000004">
      <c r="L28" s="19"/>
      <c r="M28" s="10"/>
      <c r="N28" s="14"/>
      <c r="O28" s="10"/>
    </row>
    <row r="29" spans="2:15" s="5" customFormat="1" ht="13.9" customHeight="1" x14ac:dyDescent="0.55000000000000004">
      <c r="L29" s="19"/>
      <c r="M29" s="10"/>
      <c r="N29" s="14"/>
      <c r="O29" s="10"/>
    </row>
    <row r="30" spans="2:15" s="5" customFormat="1" x14ac:dyDescent="0.55000000000000004">
      <c r="H30" s="19"/>
      <c r="L30" s="19"/>
      <c r="M30" s="10"/>
      <c r="N30" s="14"/>
      <c r="O30" s="10"/>
    </row>
    <row r="31" spans="2:15" s="5" customFormat="1" x14ac:dyDescent="0.55000000000000004">
      <c r="H31" s="19"/>
      <c r="L31" s="19"/>
      <c r="M31" s="10"/>
      <c r="N31" s="14"/>
      <c r="O31" s="10"/>
    </row>
    <row r="32" spans="2:15" s="5" customFormat="1" x14ac:dyDescent="0.55000000000000004">
      <c r="H32" s="19"/>
      <c r="L32" s="19"/>
      <c r="M32" s="10"/>
      <c r="N32" s="14"/>
      <c r="O32" s="10"/>
    </row>
    <row r="33" spans="2:38" s="5" customFormat="1" x14ac:dyDescent="0.55000000000000004">
      <c r="H33" s="19"/>
      <c r="L33" s="19"/>
      <c r="M33" s="10"/>
      <c r="N33" s="14"/>
      <c r="O33" s="10"/>
    </row>
    <row r="34" spans="2:38" s="5" customFormat="1" x14ac:dyDescent="0.55000000000000004">
      <c r="H34" s="19"/>
      <c r="L34" s="19"/>
      <c r="M34" s="10"/>
      <c r="N34" s="14"/>
      <c r="O34" s="10"/>
    </row>
    <row r="35" spans="2:38" s="5" customFormat="1" x14ac:dyDescent="0.55000000000000004">
      <c r="B35" s="16"/>
      <c r="C35" s="19"/>
      <c r="D35" s="19"/>
      <c r="E35" s="15"/>
      <c r="F35" s="17"/>
      <c r="H35" s="19"/>
      <c r="I35" s="9"/>
      <c r="J35" s="19"/>
      <c r="K35" s="19"/>
      <c r="L35" s="19"/>
      <c r="M35" s="10"/>
      <c r="N35" s="14"/>
      <c r="O35" s="10"/>
    </row>
    <row r="36" spans="2:38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38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</row>
    <row r="38" spans="2:38" s="5" customFormat="1" x14ac:dyDescent="0.55000000000000004">
      <c r="B38" s="16"/>
      <c r="C38" s="19"/>
      <c r="D38" s="19"/>
      <c r="E38" s="15"/>
      <c r="F38" s="17"/>
      <c r="I38" s="9"/>
      <c r="J38" s="19"/>
      <c r="K38" s="19"/>
    </row>
    <row r="39" spans="2:38" s="5" customFormat="1" x14ac:dyDescent="0.55000000000000004">
      <c r="B39" s="19"/>
      <c r="C39" s="19"/>
      <c r="D39" s="19"/>
      <c r="E39" s="19"/>
      <c r="F39" s="15"/>
      <c r="I39" s="9"/>
      <c r="J39" s="19"/>
      <c r="K39" s="19"/>
    </row>
    <row r="40" spans="2:38" s="5" customFormat="1" x14ac:dyDescent="0.55000000000000004">
      <c r="C40" s="8"/>
      <c r="E40" s="8"/>
      <c r="F40" s="18"/>
      <c r="H40" s="19"/>
      <c r="I40" s="19"/>
      <c r="J40" s="19"/>
      <c r="K40" s="19"/>
    </row>
    <row r="41" spans="2:38" s="5" customFormat="1" x14ac:dyDescent="0.55000000000000004">
      <c r="B41" s="8"/>
      <c r="H41" s="19"/>
      <c r="I41" s="19"/>
      <c r="J41" s="19"/>
      <c r="K41" s="19"/>
    </row>
    <row r="42" spans="2:38" x14ac:dyDescent="0.55000000000000004">
      <c r="B42" s="8"/>
      <c r="C42" s="5"/>
      <c r="D42" s="5"/>
      <c r="E42" s="5"/>
      <c r="H42" s="19"/>
    </row>
    <row r="43" spans="2:38" x14ac:dyDescent="0.55000000000000004">
      <c r="B43" s="8"/>
      <c r="C43" s="5"/>
      <c r="D43" s="5"/>
      <c r="E43" s="5"/>
    </row>
    <row r="45" spans="2:38" s="5" customFormat="1" x14ac:dyDescent="0.55000000000000004">
      <c r="H45" s="19"/>
      <c r="I45" s="19"/>
      <c r="J45" s="19"/>
      <c r="K45" s="19"/>
    </row>
    <row r="46" spans="2:38" s="5" customFormat="1" x14ac:dyDescent="0.55000000000000004">
      <c r="B46" s="8"/>
      <c r="H46" s="19"/>
      <c r="I46" s="19"/>
      <c r="J46" s="19"/>
      <c r="K46" s="1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2:38" s="5" customFormat="1" x14ac:dyDescent="0.55000000000000004">
      <c r="B47" s="8"/>
      <c r="H47" s="19"/>
      <c r="I47" s="19"/>
      <c r="J47" s="19"/>
      <c r="K47" s="19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2:38" s="5" customFormat="1" x14ac:dyDescent="0.55000000000000004">
      <c r="B48" s="8"/>
      <c r="H48" s="19"/>
      <c r="I48" s="19"/>
      <c r="J48" s="19"/>
      <c r="K48" s="19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2:38" s="5" customFormat="1" x14ac:dyDescent="0.55000000000000004">
      <c r="B49" s="8"/>
      <c r="H49" s="19"/>
      <c r="I49" s="19"/>
      <c r="J49" s="19"/>
      <c r="K49" s="1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2:38" s="5" customFormat="1" x14ac:dyDescent="0.55000000000000004">
      <c r="B50" s="8"/>
      <c r="H50" s="19"/>
      <c r="I50" s="19"/>
      <c r="J50" s="19"/>
      <c r="K50" s="19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2:38" s="5" customFormat="1" x14ac:dyDescent="0.55000000000000004">
      <c r="B51" s="8"/>
      <c r="H51" s="19"/>
      <c r="I51" s="19"/>
      <c r="J51" s="19"/>
      <c r="K51" s="19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2:38" s="5" customFormat="1" x14ac:dyDescent="0.55000000000000004">
      <c r="B52" s="8"/>
      <c r="H52" s="19"/>
      <c r="I52" s="19"/>
      <c r="J52" s="19"/>
      <c r="K52" s="19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2:38" s="5" customFormat="1" x14ac:dyDescent="0.55000000000000004">
      <c r="B53" s="8"/>
      <c r="H53" s="19"/>
      <c r="I53" s="19"/>
      <c r="J53" s="19"/>
      <c r="K53" s="19"/>
      <c r="Y53" s="1"/>
      <c r="Z53" s="2"/>
      <c r="AA53" s="2"/>
      <c r="AB53"/>
      <c r="AC53"/>
      <c r="AD53"/>
      <c r="AE53"/>
      <c r="AF53"/>
      <c r="AG53"/>
      <c r="AH53"/>
      <c r="AI53"/>
      <c r="AJ53"/>
      <c r="AK53"/>
      <c r="AL53"/>
    </row>
    <row r="54" spans="2:38" s="5" customFormat="1" x14ac:dyDescent="0.55000000000000004">
      <c r="B54" s="8"/>
      <c r="H54" s="19"/>
      <c r="I54" s="19"/>
      <c r="J54" s="19"/>
      <c r="K54" s="19"/>
      <c r="Y54" s="1"/>
      <c r="Z54" s="2"/>
      <c r="AA54" s="2"/>
      <c r="AB54"/>
      <c r="AC54"/>
      <c r="AD54"/>
      <c r="AE54"/>
      <c r="AF54"/>
      <c r="AG54"/>
      <c r="AH54"/>
      <c r="AI54"/>
      <c r="AJ54"/>
      <c r="AK54"/>
      <c r="AL54"/>
    </row>
    <row r="55" spans="2:38" s="5" customFormat="1" x14ac:dyDescent="0.55000000000000004">
      <c r="B55" s="8"/>
      <c r="H55" s="19"/>
      <c r="I55" s="19"/>
      <c r="J55" s="19"/>
      <c r="K55" s="19"/>
      <c r="Y55" s="1"/>
      <c r="Z55" s="3"/>
      <c r="AA55" s="3"/>
      <c r="AB55"/>
      <c r="AC55" s="4"/>
      <c r="AD55" s="4"/>
      <c r="AE55" s="1"/>
      <c r="AF55" s="1"/>
      <c r="AG55"/>
      <c r="AH55"/>
      <c r="AI55"/>
      <c r="AJ55"/>
      <c r="AK55"/>
      <c r="AL55"/>
    </row>
    <row r="56" spans="2:38" s="5" customFormat="1" x14ac:dyDescent="0.55000000000000004">
      <c r="B56" s="8"/>
      <c r="H56" s="19"/>
      <c r="I56" s="19"/>
      <c r="J56" s="19"/>
      <c r="K56" s="19"/>
      <c r="Y56" s="1"/>
      <c r="Z56" s="3"/>
      <c r="AA56" s="3"/>
      <c r="AB56"/>
      <c r="AC56" s="4"/>
      <c r="AD56" s="4"/>
      <c r="AE56" s="1"/>
      <c r="AF56" s="1"/>
      <c r="AG56"/>
      <c r="AH56"/>
      <c r="AI56"/>
      <c r="AJ56"/>
      <c r="AK56"/>
      <c r="AL56"/>
    </row>
    <row r="57" spans="2:38" s="5" customFormat="1" x14ac:dyDescent="0.55000000000000004">
      <c r="B57" s="8"/>
      <c r="H57" s="19"/>
      <c r="I57" s="19"/>
      <c r="J57" s="19"/>
      <c r="K57" s="19"/>
      <c r="Y57" s="1"/>
      <c r="Z57" s="3"/>
      <c r="AA57" s="3"/>
      <c r="AB57"/>
      <c r="AC57" s="4"/>
      <c r="AD57" s="4"/>
      <c r="AE57" s="1"/>
      <c r="AF57" s="1"/>
      <c r="AG57"/>
      <c r="AH57"/>
      <c r="AI57"/>
      <c r="AJ57"/>
      <c r="AK57"/>
      <c r="AL57"/>
    </row>
    <row r="58" spans="2:38" s="5" customFormat="1" x14ac:dyDescent="0.55000000000000004">
      <c r="B58" s="8"/>
      <c r="H58" s="19"/>
      <c r="I58" s="19"/>
      <c r="J58" s="19"/>
      <c r="K58" s="19"/>
      <c r="Y58" s="1"/>
      <c r="Z58" s="3"/>
      <c r="AA58" s="3"/>
      <c r="AB58"/>
      <c r="AC58" s="4"/>
      <c r="AD58" s="4"/>
      <c r="AE58" s="1"/>
      <c r="AF58" s="1"/>
      <c r="AG58"/>
      <c r="AH58"/>
      <c r="AI58"/>
      <c r="AJ58"/>
      <c r="AK58"/>
      <c r="AL58"/>
    </row>
    <row r="59" spans="2:38" s="5" customFormat="1" x14ac:dyDescent="0.55000000000000004">
      <c r="B59" s="8"/>
      <c r="H59" s="19"/>
      <c r="I59" s="19"/>
      <c r="J59" s="19"/>
      <c r="K59" s="19"/>
      <c r="Y59" s="1"/>
      <c r="Z59" s="3"/>
      <c r="AA59" s="3"/>
      <c r="AB59"/>
      <c r="AC59" s="4"/>
      <c r="AD59" s="4"/>
      <c r="AE59" s="1"/>
      <c r="AF59" s="1"/>
      <c r="AG59"/>
      <c r="AH59"/>
      <c r="AI59"/>
      <c r="AJ59"/>
      <c r="AK59"/>
      <c r="AL59"/>
    </row>
    <row r="60" spans="2:38" s="5" customFormat="1" x14ac:dyDescent="0.55000000000000004">
      <c r="B60" s="8"/>
      <c r="H60" s="19"/>
      <c r="I60" s="19"/>
      <c r="J60" s="19"/>
      <c r="K60" s="19"/>
      <c r="Y60" s="1"/>
      <c r="Z60" s="3"/>
      <c r="AA60" s="3"/>
      <c r="AB60"/>
      <c r="AC60" s="4"/>
      <c r="AD60" s="4"/>
      <c r="AE60" s="1"/>
      <c r="AF60" s="1"/>
      <c r="AG60"/>
      <c r="AH60"/>
      <c r="AI60"/>
      <c r="AJ60"/>
      <c r="AK60"/>
      <c r="AL60"/>
    </row>
    <row r="61" spans="2:38" s="5" customFormat="1" x14ac:dyDescent="0.55000000000000004">
      <c r="B61" s="8"/>
      <c r="H61" s="19"/>
      <c r="I61" s="19"/>
      <c r="J61" s="19"/>
      <c r="K61" s="19"/>
      <c r="Y61" s="1"/>
      <c r="Z61" s="2"/>
      <c r="AA61" s="2"/>
      <c r="AB61"/>
      <c r="AC61"/>
      <c r="AD61"/>
      <c r="AE61"/>
      <c r="AF61"/>
      <c r="AG61"/>
      <c r="AH61"/>
      <c r="AI61"/>
      <c r="AJ61"/>
      <c r="AK61"/>
      <c r="AL61"/>
    </row>
    <row r="62" spans="2:38" s="5" customFormat="1" x14ac:dyDescent="0.55000000000000004">
      <c r="B62" s="8"/>
      <c r="H62" s="19"/>
      <c r="I62" s="19"/>
      <c r="J62" s="19"/>
      <c r="K62" s="19"/>
      <c r="Y62" s="1"/>
      <c r="Z62" s="2"/>
      <c r="AA62" s="2"/>
      <c r="AB62"/>
      <c r="AC62"/>
      <c r="AD62"/>
      <c r="AE62"/>
      <c r="AF62"/>
      <c r="AG62"/>
      <c r="AH62"/>
      <c r="AI62"/>
      <c r="AJ62"/>
      <c r="AK62"/>
      <c r="AL62"/>
    </row>
  </sheetData>
  <mergeCells count="3">
    <mergeCell ref="F2:J2"/>
    <mergeCell ref="F4:F5"/>
    <mergeCell ref="G4:G5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4BBD-CCA5-42DF-AA36-9896DE93B0AA}">
  <dimension ref="B1:AQ65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2.26171875" bestFit="1" customWidth="1"/>
    <col min="4" max="4" width="13.26171875" customWidth="1"/>
    <col min="5" max="5" width="15.83984375" customWidth="1"/>
    <col min="6" max="6" width="28.47265625" bestFit="1" customWidth="1"/>
    <col min="8" max="8" width="12.734375" style="7" customWidth="1"/>
    <col min="9" max="9" width="16.05078125" style="7" customWidth="1"/>
    <col min="10" max="10" width="8.41796875" style="7" customWidth="1"/>
    <col min="11" max="11" width="8.734375" style="7" customWidth="1"/>
    <col min="12" max="12" width="14.05078125" style="7" customWidth="1"/>
    <col min="13" max="13" width="9.734375" style="7" customWidth="1"/>
    <col min="14" max="14" width="12.68359375" style="7" customWidth="1"/>
    <col min="18" max="18" width="18" customWidth="1"/>
    <col min="19" max="20" width="15.734375" customWidth="1"/>
    <col min="21" max="21" width="14.7890625" customWidth="1"/>
  </cols>
  <sheetData>
    <row r="1" spans="2:14" s="5" customFormat="1" x14ac:dyDescent="0.55000000000000004">
      <c r="H1" s="19"/>
      <c r="I1" s="19"/>
      <c r="J1" s="19"/>
      <c r="K1" s="19"/>
      <c r="L1" s="19"/>
      <c r="M1" s="19"/>
      <c r="N1" s="19"/>
    </row>
    <row r="2" spans="2:14" s="5" customFormat="1" x14ac:dyDescent="0.55000000000000004">
      <c r="B2" s="8"/>
      <c r="F2" s="36" t="s">
        <v>47</v>
      </c>
      <c r="G2" s="36"/>
      <c r="H2" s="36"/>
      <c r="I2" s="36"/>
      <c r="J2" s="36"/>
      <c r="K2" s="19"/>
      <c r="L2" s="19"/>
      <c r="M2" s="19"/>
      <c r="N2" s="19"/>
    </row>
    <row r="3" spans="2:14" s="5" customFormat="1" x14ac:dyDescent="0.55000000000000004">
      <c r="B3" s="8" t="s">
        <v>0</v>
      </c>
      <c r="C3" s="5" t="s">
        <v>28</v>
      </c>
      <c r="F3" s="16"/>
      <c r="G3" s="22"/>
      <c r="H3" s="22"/>
      <c r="I3" s="22"/>
      <c r="J3" s="22"/>
      <c r="L3" s="19"/>
      <c r="M3" s="19"/>
      <c r="N3" s="19"/>
    </row>
    <row r="4" spans="2:14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  <c r="L4" s="19"/>
      <c r="M4" s="19"/>
      <c r="N4" s="19"/>
    </row>
    <row r="5" spans="2:14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  <c r="L5" s="19"/>
      <c r="M5" s="19"/>
      <c r="N5" s="19"/>
    </row>
    <row r="6" spans="2:14" s="5" customFormat="1" x14ac:dyDescent="0.55000000000000004">
      <c r="B6" s="8" t="s">
        <v>2</v>
      </c>
      <c r="C6" s="5">
        <v>1</v>
      </c>
      <c r="F6" t="s">
        <v>48</v>
      </c>
      <c r="G6" s="24">
        <v>15</v>
      </c>
      <c r="H6">
        <v>5</v>
      </c>
      <c r="I6">
        <v>0.12</v>
      </c>
      <c r="J6" s="33">
        <v>15.990280896839044</v>
      </c>
      <c r="K6" s="5">
        <f>(J6*(H6+I6)/I6)/39.098</f>
        <v>17.449792442881972</v>
      </c>
      <c r="L6" s="19"/>
      <c r="M6" s="19"/>
      <c r="N6" s="19"/>
    </row>
    <row r="7" spans="2:14" s="5" customFormat="1" x14ac:dyDescent="0.55000000000000004">
      <c r="B7" s="8" t="s">
        <v>3</v>
      </c>
      <c r="C7" s="5" t="s">
        <v>26</v>
      </c>
      <c r="F7" t="s">
        <v>49</v>
      </c>
      <c r="G7" s="25">
        <v>16</v>
      </c>
      <c r="H7">
        <v>5</v>
      </c>
      <c r="I7">
        <v>1.2E-2</v>
      </c>
      <c r="J7" s="34">
        <v>11.773830320252037</v>
      </c>
      <c r="K7" s="5">
        <f>(J7*(H7+I7)/I7)/39.098</f>
        <v>125.7746294889406</v>
      </c>
      <c r="L7" s="19"/>
      <c r="M7" s="19"/>
      <c r="N7" s="19"/>
    </row>
    <row r="8" spans="2:14" s="5" customFormat="1" x14ac:dyDescent="0.55000000000000004">
      <c r="B8" s="8" t="s">
        <v>4</v>
      </c>
      <c r="C8" s="5">
        <v>15</v>
      </c>
      <c r="D8" s="5" t="s">
        <v>5</v>
      </c>
      <c r="F8" t="s">
        <v>50</v>
      </c>
      <c r="G8" s="24">
        <v>17</v>
      </c>
      <c r="H8">
        <v>5</v>
      </c>
      <c r="I8">
        <v>1.2E-2</v>
      </c>
      <c r="J8" s="33">
        <v>7.9185796023519819</v>
      </c>
      <c r="K8" s="5">
        <f t="shared" ref="K8:K11" si="0">(J8*(H8+I8)/I8)/39.098</f>
        <v>84.590688711673508</v>
      </c>
      <c r="L8" s="19"/>
      <c r="M8" s="19"/>
      <c r="N8" s="19"/>
    </row>
    <row r="9" spans="2:14" s="5" customFormat="1" x14ac:dyDescent="0.55000000000000004">
      <c r="B9" s="8" t="s">
        <v>6</v>
      </c>
      <c r="C9" s="5">
        <v>120</v>
      </c>
      <c r="D9" s="5" t="s">
        <v>5</v>
      </c>
      <c r="F9" t="s">
        <v>51</v>
      </c>
      <c r="G9" s="25">
        <v>18</v>
      </c>
      <c r="H9">
        <v>5</v>
      </c>
      <c r="I9">
        <v>1.2E-2</v>
      </c>
      <c r="J9" s="34">
        <v>9.1133696500725723</v>
      </c>
      <c r="K9" s="5">
        <f t="shared" si="0"/>
        <v>97.354103121565728</v>
      </c>
      <c r="L9" s="19"/>
      <c r="M9" s="19"/>
      <c r="N9" s="19"/>
    </row>
    <row r="10" spans="2:14" s="5" customFormat="1" x14ac:dyDescent="0.55000000000000004">
      <c r="B10" s="8"/>
      <c r="F10" t="s">
        <v>52</v>
      </c>
      <c r="G10" s="24">
        <v>19</v>
      </c>
      <c r="H10">
        <v>5</v>
      </c>
      <c r="I10">
        <v>2.5000000000000001E-2</v>
      </c>
      <c r="J10" s="28">
        <v>2.4163660546018542</v>
      </c>
      <c r="K10" s="5">
        <f t="shared" si="0"/>
        <v>12.422363726404745</v>
      </c>
      <c r="L10" s="19"/>
      <c r="M10" s="19"/>
      <c r="N10" s="19"/>
    </row>
    <row r="11" spans="2:14" s="5" customFormat="1" x14ac:dyDescent="0.55000000000000004">
      <c r="B11" s="8" t="s">
        <v>8</v>
      </c>
      <c r="C11" s="5">
        <v>31.55</v>
      </c>
      <c r="D11" s="5" t="s">
        <v>9</v>
      </c>
      <c r="F11" t="s">
        <v>53</v>
      </c>
      <c r="G11" s="25">
        <v>20</v>
      </c>
      <c r="H11">
        <v>5</v>
      </c>
      <c r="I11">
        <v>2.5000000000000001E-2</v>
      </c>
      <c r="J11" s="27">
        <v>4.3013707232121741</v>
      </c>
      <c r="K11" s="5">
        <f t="shared" si="0"/>
        <v>22.113036865457236</v>
      </c>
      <c r="L11" s="19"/>
      <c r="M11" s="38"/>
      <c r="N11" s="38"/>
    </row>
    <row r="12" spans="2:14" s="5" customFormat="1" x14ac:dyDescent="0.55000000000000004">
      <c r="B12" s="8" t="s">
        <v>10</v>
      </c>
      <c r="C12" s="5">
        <v>41.64</v>
      </c>
      <c r="D12" s="5" t="s">
        <v>9</v>
      </c>
      <c r="F12" t="s">
        <v>54</v>
      </c>
      <c r="G12" s="24">
        <v>21</v>
      </c>
      <c r="H12">
        <v>5</v>
      </c>
      <c r="I12">
        <v>2.5000000000000001E-2</v>
      </c>
      <c r="J12" s="27">
        <v>5.8831196333255988</v>
      </c>
      <c r="K12" s="5">
        <f t="shared" ref="K12:K19" si="1">(J12*(H12+I12)/I12)/39.098</f>
        <v>30.244694007326345</v>
      </c>
      <c r="L12" s="19"/>
      <c r="M12" s="19"/>
      <c r="N12" s="19"/>
    </row>
    <row r="13" spans="2:14" s="5" customFormat="1" x14ac:dyDescent="0.55000000000000004">
      <c r="B13" s="8" t="s">
        <v>11</v>
      </c>
      <c r="C13" s="5">
        <v>41.69</v>
      </c>
      <c r="D13" s="5" t="s">
        <v>9</v>
      </c>
      <c r="F13" t="s">
        <v>55</v>
      </c>
      <c r="G13" s="25">
        <v>22</v>
      </c>
      <c r="H13">
        <v>5</v>
      </c>
      <c r="I13">
        <v>2.5000000000000001E-2</v>
      </c>
      <c r="J13" s="28">
        <v>7.647898492253038</v>
      </c>
      <c r="K13" s="5">
        <f t="shared" si="1"/>
        <v>39.317294924110207</v>
      </c>
      <c r="L13" s="19"/>
      <c r="M13" s="19"/>
      <c r="N13" s="19"/>
    </row>
    <row r="14" spans="2:14" s="5" customFormat="1" x14ac:dyDescent="0.55000000000000004">
      <c r="B14" s="8"/>
      <c r="F14" t="s">
        <v>56</v>
      </c>
      <c r="G14" s="24">
        <v>23</v>
      </c>
      <c r="H14">
        <v>5</v>
      </c>
      <c r="I14">
        <v>2.5000000000000001E-2</v>
      </c>
      <c r="J14" s="27">
        <v>11.397226316451066</v>
      </c>
      <c r="K14" s="5">
        <f t="shared" si="1"/>
        <v>58.592319034392155</v>
      </c>
      <c r="L14" s="19"/>
      <c r="M14" s="19"/>
      <c r="N14" s="19"/>
    </row>
    <row r="15" spans="2:14" s="5" customFormat="1" x14ac:dyDescent="0.55000000000000004">
      <c r="B15" s="8" t="s">
        <v>12</v>
      </c>
      <c r="C15" s="5">
        <v>12.683999999999999</v>
      </c>
      <c r="D15" s="5" t="s">
        <v>13</v>
      </c>
      <c r="F15" t="s">
        <v>57</v>
      </c>
      <c r="G15" s="25">
        <v>24</v>
      </c>
      <c r="H15">
        <v>5</v>
      </c>
      <c r="I15">
        <v>2.5000000000000001E-2</v>
      </c>
      <c r="J15" s="28">
        <v>10.206319848335736</v>
      </c>
      <c r="K15" s="5">
        <f t="shared" si="1"/>
        <v>52.46995471674979</v>
      </c>
      <c r="L15" s="19"/>
      <c r="M15" s="19"/>
      <c r="N15" s="19"/>
    </row>
    <row r="16" spans="2:14" s="5" customFormat="1" x14ac:dyDescent="0.55000000000000004">
      <c r="B16" s="8" t="s">
        <v>14</v>
      </c>
      <c r="C16" s="5">
        <v>60.756</v>
      </c>
      <c r="D16" s="5" t="s">
        <v>13</v>
      </c>
      <c r="F16" t="s">
        <v>58</v>
      </c>
      <c r="G16" s="24">
        <v>25</v>
      </c>
      <c r="H16">
        <v>5</v>
      </c>
      <c r="I16">
        <v>2.5000000000000001E-2</v>
      </c>
      <c r="J16" s="27">
        <v>12.01201361458501</v>
      </c>
      <c r="K16" s="5">
        <f t="shared" si="1"/>
        <v>61.752896223121056</v>
      </c>
      <c r="L16" s="19"/>
      <c r="M16" s="19"/>
      <c r="N16" s="19"/>
    </row>
    <row r="17" spans="2:20" s="5" customFormat="1" x14ac:dyDescent="0.55000000000000004">
      <c r="B17" s="8"/>
      <c r="F17" t="s">
        <v>59</v>
      </c>
      <c r="G17" s="25">
        <v>26</v>
      </c>
      <c r="H17">
        <v>5</v>
      </c>
      <c r="I17">
        <v>2.5000000000000001E-2</v>
      </c>
      <c r="J17" s="28">
        <v>13.712659322177728</v>
      </c>
      <c r="K17" s="5">
        <f t="shared" si="1"/>
        <v>70.495793231309108</v>
      </c>
      <c r="L17" s="19"/>
      <c r="M17" s="19"/>
      <c r="N17" s="19"/>
    </row>
    <row r="18" spans="2:20" s="5" customFormat="1" ht="13.9" customHeight="1" x14ac:dyDescent="0.55000000000000004">
      <c r="B18" s="21" t="s">
        <v>19</v>
      </c>
      <c r="C18" s="16">
        <v>2.77</v>
      </c>
      <c r="D18" s="9" t="s">
        <v>9</v>
      </c>
      <c r="F18" t="s">
        <v>60</v>
      </c>
      <c r="G18" s="24">
        <v>27</v>
      </c>
      <c r="H18">
        <v>5</v>
      </c>
      <c r="I18">
        <v>2.5000000000000001E-2</v>
      </c>
      <c r="J18" s="27">
        <v>14.386323913207447</v>
      </c>
      <c r="K18" s="5">
        <f t="shared" si="1"/>
        <v>73.959054339216749</v>
      </c>
      <c r="L18" s="19"/>
      <c r="M18" s="19"/>
      <c r="N18" s="19"/>
    </row>
    <row r="19" spans="2:20" s="12" customFormat="1" ht="13.9" customHeight="1" x14ac:dyDescent="0.55000000000000004">
      <c r="B19" s="21" t="s">
        <v>20</v>
      </c>
      <c r="C19" s="16">
        <v>3.46</v>
      </c>
      <c r="D19" s="9" t="s">
        <v>9</v>
      </c>
      <c r="F19" t="s">
        <v>61</v>
      </c>
      <c r="G19" s="25">
        <v>28</v>
      </c>
      <c r="H19">
        <v>5</v>
      </c>
      <c r="I19">
        <v>2.5000000000000001E-2</v>
      </c>
      <c r="J19" s="28">
        <v>15.886355289108058</v>
      </c>
      <c r="K19" s="5">
        <f t="shared" si="1"/>
        <v>81.670607527513411</v>
      </c>
    </row>
    <row r="20" spans="2:20" s="5" customFormat="1" ht="13.9" customHeight="1" x14ac:dyDescent="0.55000000000000004">
      <c r="L20" s="13"/>
      <c r="N20" s="19"/>
      <c r="O20" s="19"/>
      <c r="P20" s="19"/>
      <c r="Q20" s="19"/>
      <c r="S20" s="19"/>
      <c r="T20" s="19"/>
    </row>
    <row r="21" spans="2:20" s="5" customFormat="1" ht="13.9" customHeight="1" x14ac:dyDescent="0.55000000000000004">
      <c r="L21" s="19"/>
      <c r="N21" s="19"/>
      <c r="O21" s="19"/>
      <c r="P21" s="19"/>
      <c r="Q21" s="19"/>
      <c r="S21" s="19"/>
      <c r="T21" s="19"/>
    </row>
    <row r="22" spans="2:20" s="5" customFormat="1" ht="13.9" customHeight="1" x14ac:dyDescent="0.55000000000000004">
      <c r="L22" s="19"/>
      <c r="N22" s="19"/>
      <c r="O22" s="9"/>
      <c r="P22" s="19"/>
      <c r="Q22" s="19"/>
      <c r="R22" s="10"/>
      <c r="S22" s="14"/>
      <c r="T22" s="10"/>
    </row>
    <row r="23" spans="2:20" s="5" customFormat="1" ht="13.9" customHeight="1" x14ac:dyDescent="0.55000000000000004">
      <c r="I23" s="28">
        <v>9.4312579889873245</v>
      </c>
      <c r="J23" s="33"/>
      <c r="L23" s="19"/>
      <c r="N23" s="19"/>
      <c r="O23" s="9"/>
      <c r="P23" s="19"/>
      <c r="Q23" s="19"/>
      <c r="R23" s="10"/>
      <c r="S23" s="14"/>
      <c r="T23" s="10"/>
    </row>
    <row r="24" spans="2:20" s="5" customFormat="1" ht="13.9" customHeight="1" x14ac:dyDescent="0.55000000000000004">
      <c r="I24" s="27">
        <v>11.91186274919635</v>
      </c>
      <c r="J24" s="34"/>
      <c r="L24" s="19"/>
      <c r="N24" s="19"/>
      <c r="O24" s="9"/>
      <c r="P24" s="19"/>
      <c r="Q24" s="19"/>
      <c r="R24" s="10"/>
      <c r="S24" s="14"/>
      <c r="T24" s="10"/>
    </row>
    <row r="25" spans="2:20" s="5" customFormat="1" ht="13.9" customHeight="1" x14ac:dyDescent="0.55000000000000004">
      <c r="I25" s="28">
        <v>7.6117750690535795</v>
      </c>
      <c r="J25" s="33"/>
      <c r="L25" s="19"/>
      <c r="N25" s="19"/>
      <c r="O25" s="9"/>
      <c r="P25" s="19"/>
      <c r="Q25" s="19"/>
      <c r="R25" s="10"/>
      <c r="S25" s="14"/>
      <c r="T25" s="10"/>
    </row>
    <row r="26" spans="2:20" s="5" customFormat="1" ht="13.9" customHeight="1" x14ac:dyDescent="0.55000000000000004">
      <c r="I26" s="27">
        <v>9.1298769815750536</v>
      </c>
      <c r="J26" s="34"/>
      <c r="L26" s="19"/>
      <c r="N26" s="19"/>
      <c r="O26" s="9"/>
      <c r="P26" s="19"/>
      <c r="Q26" s="19"/>
      <c r="R26" s="10"/>
      <c r="S26" s="14"/>
      <c r="T26" s="10"/>
    </row>
    <row r="27" spans="2:20" s="5" customFormat="1" ht="13.9" customHeight="1" x14ac:dyDescent="0.55000000000000004">
      <c r="L27" s="19"/>
      <c r="N27" s="19"/>
      <c r="O27" s="9"/>
      <c r="P27" s="19"/>
      <c r="Q27" s="19"/>
      <c r="R27" s="10"/>
      <c r="S27" s="14"/>
      <c r="T27" s="10"/>
    </row>
    <row r="28" spans="2:20" s="5" customFormat="1" ht="13.9" customHeight="1" x14ac:dyDescent="0.55000000000000004">
      <c r="L28" s="19"/>
      <c r="N28" s="19"/>
      <c r="O28" s="9"/>
      <c r="P28" s="19"/>
      <c r="Q28" s="19"/>
      <c r="R28" s="10"/>
      <c r="S28" s="14"/>
      <c r="T28" s="10"/>
    </row>
    <row r="29" spans="2:20" s="5" customFormat="1" ht="13.9" customHeight="1" x14ac:dyDescent="0.55000000000000004">
      <c r="L29" s="19"/>
      <c r="N29" s="19"/>
      <c r="O29" s="9"/>
      <c r="P29" s="19"/>
      <c r="Q29" s="19"/>
      <c r="R29" s="10"/>
      <c r="S29" s="14"/>
      <c r="T29" s="10"/>
    </row>
    <row r="30" spans="2:20" s="5" customFormat="1" x14ac:dyDescent="0.55000000000000004">
      <c r="H30" s="19"/>
      <c r="L30" s="19"/>
      <c r="N30" s="19"/>
      <c r="O30" s="9"/>
      <c r="P30" s="19"/>
      <c r="Q30" s="19"/>
      <c r="R30" s="10"/>
      <c r="S30" s="14"/>
      <c r="T30" s="10"/>
    </row>
    <row r="31" spans="2:20" s="5" customFormat="1" x14ac:dyDescent="0.55000000000000004">
      <c r="H31" s="19"/>
      <c r="L31" s="19"/>
      <c r="N31" s="19"/>
      <c r="O31" s="9"/>
      <c r="P31" s="19"/>
      <c r="Q31" s="19"/>
      <c r="R31" s="10"/>
      <c r="S31" s="14"/>
      <c r="T31" s="10"/>
    </row>
    <row r="32" spans="2:20" s="5" customFormat="1" x14ac:dyDescent="0.55000000000000004">
      <c r="H32" s="19"/>
      <c r="L32" s="19"/>
      <c r="N32" s="19"/>
      <c r="O32" s="9"/>
      <c r="P32" s="19"/>
      <c r="Q32" s="19"/>
      <c r="R32" s="10"/>
      <c r="S32" s="14"/>
      <c r="T32" s="10"/>
    </row>
    <row r="33" spans="2:43" s="5" customFormat="1" x14ac:dyDescent="0.55000000000000004">
      <c r="H33" s="19"/>
      <c r="L33" s="19"/>
      <c r="N33" s="19"/>
      <c r="O33" s="9"/>
      <c r="P33" s="19"/>
      <c r="Q33" s="19"/>
      <c r="R33" s="10"/>
      <c r="S33" s="14"/>
      <c r="T33" s="10"/>
    </row>
    <row r="34" spans="2:43" s="5" customFormat="1" x14ac:dyDescent="0.55000000000000004">
      <c r="H34" s="19"/>
      <c r="L34" s="19"/>
      <c r="N34" s="19"/>
      <c r="O34" s="9"/>
      <c r="P34" s="19"/>
      <c r="Q34" s="19"/>
      <c r="R34" s="10"/>
      <c r="S34" s="14"/>
      <c r="T34" s="10"/>
    </row>
    <row r="35" spans="2:43" s="5" customFormat="1" x14ac:dyDescent="0.55000000000000004">
      <c r="B35" s="16"/>
      <c r="C35" s="19"/>
      <c r="D35" s="19"/>
      <c r="E35" s="15"/>
      <c r="F35" s="17"/>
      <c r="H35" s="19"/>
      <c r="I35" s="9"/>
      <c r="J35" s="19"/>
      <c r="K35" s="19"/>
      <c r="L35" s="19"/>
      <c r="N35" s="19"/>
      <c r="O35" s="9"/>
      <c r="P35" s="19"/>
      <c r="Q35" s="19"/>
      <c r="R35" s="10"/>
      <c r="S35" s="14"/>
      <c r="T35" s="10"/>
    </row>
    <row r="36" spans="2:43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3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9"/>
      <c r="M37" s="19"/>
      <c r="N37" s="11"/>
    </row>
    <row r="38" spans="2:43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9"/>
      <c r="M38" s="19"/>
      <c r="N38" s="11"/>
    </row>
    <row r="39" spans="2:43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9"/>
      <c r="M39" s="19"/>
      <c r="N39" s="11"/>
    </row>
    <row r="40" spans="2:43" s="5" customFormat="1" x14ac:dyDescent="0.55000000000000004">
      <c r="C40" s="8"/>
      <c r="E40" s="8"/>
      <c r="F40" s="18"/>
      <c r="H40" s="19"/>
      <c r="I40" s="19"/>
      <c r="J40" s="19"/>
      <c r="K40" s="19"/>
      <c r="L40" s="19"/>
      <c r="M40" s="19"/>
      <c r="N40" s="19"/>
    </row>
    <row r="41" spans="2:43" s="5" customFormat="1" x14ac:dyDescent="0.55000000000000004">
      <c r="B41" s="8"/>
      <c r="H41" s="19"/>
      <c r="I41" s="19"/>
      <c r="J41" s="19"/>
      <c r="K41" s="19"/>
      <c r="L41" s="19"/>
      <c r="M41" s="19"/>
      <c r="N41" s="19"/>
    </row>
    <row r="42" spans="2:43" x14ac:dyDescent="0.55000000000000004">
      <c r="B42" s="8"/>
      <c r="C42" s="5"/>
      <c r="D42" s="5"/>
      <c r="E42" s="5"/>
      <c r="H42" s="19"/>
    </row>
    <row r="43" spans="2:43" x14ac:dyDescent="0.55000000000000004">
      <c r="B43" s="8"/>
      <c r="C43" s="5"/>
      <c r="D43" s="5"/>
      <c r="E43" s="5"/>
    </row>
    <row r="45" spans="2:43" s="5" customFormat="1" x14ac:dyDescent="0.55000000000000004">
      <c r="H45" s="19"/>
      <c r="I45" s="19"/>
      <c r="J45" s="19"/>
      <c r="K45" s="19"/>
      <c r="L45" s="19"/>
      <c r="M45" s="19"/>
      <c r="N45" s="19"/>
    </row>
    <row r="46" spans="2:43" s="5" customFormat="1" x14ac:dyDescent="0.55000000000000004">
      <c r="B46" s="8"/>
      <c r="H46" s="19"/>
      <c r="I46" s="19"/>
      <c r="J46" s="19"/>
      <c r="K46" s="19"/>
      <c r="L46" s="19"/>
      <c r="M46" s="19"/>
      <c r="N46" s="19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2:43" s="5" customFormat="1" x14ac:dyDescent="0.55000000000000004">
      <c r="B47" s="8"/>
      <c r="H47" s="19"/>
      <c r="I47" s="19"/>
      <c r="J47" s="19"/>
      <c r="K47" s="19"/>
      <c r="L47" s="19"/>
      <c r="M47" s="19"/>
      <c r="N47" s="19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2:43" s="5" customFormat="1" x14ac:dyDescent="0.55000000000000004">
      <c r="B48" s="8"/>
      <c r="H48" s="19"/>
      <c r="I48" s="19"/>
      <c r="J48" s="19"/>
      <c r="K48" s="19"/>
      <c r="L48" s="19"/>
      <c r="M48" s="19"/>
      <c r="N48" s="19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2:43" s="5" customFormat="1" x14ac:dyDescent="0.55000000000000004">
      <c r="B49" s="8"/>
      <c r="H49" s="19"/>
      <c r="I49" s="19"/>
      <c r="J49" s="19"/>
      <c r="K49" s="1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2:43" s="5" customFormat="1" x14ac:dyDescent="0.55000000000000004">
      <c r="B50" s="8"/>
      <c r="H50" s="19"/>
      <c r="I50" s="19"/>
      <c r="J50" s="19"/>
      <c r="K50" s="19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2:43" s="5" customFormat="1" x14ac:dyDescent="0.55000000000000004">
      <c r="B51" s="8"/>
      <c r="H51" s="19"/>
      <c r="I51" s="19"/>
      <c r="J51" s="19"/>
      <c r="K51" s="19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2:43" s="5" customFormat="1" x14ac:dyDescent="0.55000000000000004">
      <c r="B52" s="8"/>
      <c r="H52" s="19"/>
      <c r="I52" s="19"/>
      <c r="J52" s="19"/>
      <c r="K52" s="19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2:43" s="5" customFormat="1" x14ac:dyDescent="0.55000000000000004">
      <c r="B53" s="8"/>
      <c r="H53" s="19"/>
      <c r="I53" s="19"/>
      <c r="J53" s="19"/>
      <c r="K53" s="19"/>
      <c r="AD53" s="1"/>
      <c r="AE53" s="2"/>
      <c r="AF53" s="2"/>
      <c r="AG53"/>
      <c r="AH53"/>
      <c r="AI53"/>
      <c r="AJ53"/>
      <c r="AK53"/>
      <c r="AL53"/>
      <c r="AM53"/>
      <c r="AN53"/>
      <c r="AO53"/>
      <c r="AP53"/>
      <c r="AQ53"/>
    </row>
    <row r="54" spans="2:43" s="5" customFormat="1" x14ac:dyDescent="0.55000000000000004">
      <c r="B54" s="8"/>
      <c r="H54" s="19"/>
      <c r="I54" s="19"/>
      <c r="J54" s="19"/>
      <c r="K54" s="19"/>
      <c r="AD54" s="1"/>
      <c r="AE54" s="2"/>
      <c r="AF54" s="2"/>
      <c r="AG54"/>
      <c r="AH54"/>
      <c r="AI54"/>
      <c r="AJ54"/>
      <c r="AK54"/>
      <c r="AL54"/>
      <c r="AM54"/>
      <c r="AN54"/>
      <c r="AO54"/>
      <c r="AP54"/>
      <c r="AQ54"/>
    </row>
    <row r="55" spans="2:43" s="5" customFormat="1" x14ac:dyDescent="0.55000000000000004">
      <c r="B55" s="8"/>
      <c r="H55" s="19"/>
      <c r="I55" s="19"/>
      <c r="J55" s="19"/>
      <c r="K55" s="19"/>
      <c r="AD55" s="1"/>
      <c r="AE55" s="3"/>
      <c r="AF55" s="3"/>
      <c r="AG55"/>
      <c r="AH55" s="4"/>
      <c r="AI55" s="4"/>
      <c r="AJ55" s="1"/>
      <c r="AK55" s="1"/>
      <c r="AL55"/>
      <c r="AM55"/>
      <c r="AN55"/>
      <c r="AO55"/>
      <c r="AP55"/>
      <c r="AQ55"/>
    </row>
    <row r="56" spans="2:43" s="5" customFormat="1" x14ac:dyDescent="0.55000000000000004">
      <c r="B56" s="8"/>
      <c r="H56" s="19"/>
      <c r="I56" s="19"/>
      <c r="J56" s="19"/>
      <c r="K56" s="19"/>
      <c r="AD56" s="1"/>
      <c r="AE56" s="3"/>
      <c r="AF56" s="3"/>
      <c r="AG56"/>
      <c r="AH56" s="4"/>
      <c r="AI56" s="4"/>
      <c r="AJ56" s="1"/>
      <c r="AK56" s="1"/>
      <c r="AL56"/>
      <c r="AM56"/>
      <c r="AN56"/>
      <c r="AO56"/>
      <c r="AP56"/>
      <c r="AQ56"/>
    </row>
    <row r="57" spans="2:43" s="5" customFormat="1" x14ac:dyDescent="0.55000000000000004">
      <c r="B57" s="8"/>
      <c r="H57" s="19"/>
      <c r="I57" s="19"/>
      <c r="J57" s="19"/>
      <c r="K57" s="19"/>
      <c r="AD57" s="1"/>
      <c r="AE57" s="3"/>
      <c r="AF57" s="3"/>
      <c r="AG57"/>
      <c r="AH57" s="4"/>
      <c r="AI57" s="4"/>
      <c r="AJ57" s="1"/>
      <c r="AK57" s="1"/>
      <c r="AL57"/>
      <c r="AM57"/>
      <c r="AN57"/>
      <c r="AO57"/>
      <c r="AP57"/>
      <c r="AQ57"/>
    </row>
    <row r="58" spans="2:43" s="5" customFormat="1" x14ac:dyDescent="0.55000000000000004">
      <c r="B58" s="8"/>
      <c r="H58" s="19"/>
      <c r="I58" s="19"/>
      <c r="J58" s="19"/>
      <c r="K58" s="19"/>
      <c r="AD58" s="1"/>
      <c r="AE58" s="3"/>
      <c r="AF58" s="3"/>
      <c r="AG58"/>
      <c r="AH58" s="4"/>
      <c r="AI58" s="4"/>
      <c r="AJ58" s="1"/>
      <c r="AK58" s="1"/>
      <c r="AL58"/>
      <c r="AM58"/>
      <c r="AN58"/>
      <c r="AO58"/>
      <c r="AP58"/>
      <c r="AQ58"/>
    </row>
    <row r="59" spans="2:43" s="5" customFormat="1" x14ac:dyDescent="0.55000000000000004">
      <c r="B59" s="8"/>
      <c r="H59" s="19"/>
      <c r="I59" s="19"/>
      <c r="J59" s="19"/>
      <c r="K59" s="19"/>
      <c r="AD59" s="1"/>
      <c r="AE59" s="3"/>
      <c r="AF59" s="3"/>
      <c r="AG59"/>
      <c r="AH59" s="4"/>
      <c r="AI59" s="4"/>
      <c r="AJ59" s="1"/>
      <c r="AK59" s="1"/>
      <c r="AL59"/>
      <c r="AM59"/>
      <c r="AN59"/>
      <c r="AO59"/>
      <c r="AP59"/>
      <c r="AQ59"/>
    </row>
    <row r="60" spans="2:43" s="5" customFormat="1" x14ac:dyDescent="0.55000000000000004">
      <c r="B60" s="8"/>
      <c r="H60" s="19"/>
      <c r="I60" s="19"/>
      <c r="J60" s="19"/>
      <c r="K60" s="19"/>
      <c r="AD60" s="1"/>
      <c r="AE60" s="3"/>
      <c r="AF60" s="3"/>
      <c r="AG60"/>
      <c r="AH60" s="4"/>
      <c r="AI60" s="4"/>
      <c r="AJ60" s="1"/>
      <c r="AK60" s="1"/>
      <c r="AL60"/>
      <c r="AM60"/>
      <c r="AN60"/>
      <c r="AO60"/>
      <c r="AP60"/>
      <c r="AQ60"/>
    </row>
    <row r="61" spans="2:43" s="5" customFormat="1" x14ac:dyDescent="0.55000000000000004">
      <c r="B61" s="8"/>
      <c r="H61" s="19"/>
      <c r="I61" s="19"/>
      <c r="J61" s="19"/>
      <c r="K61" s="19"/>
      <c r="AD61" s="1"/>
      <c r="AE61" s="2"/>
      <c r="AF61" s="2"/>
      <c r="AG61"/>
      <c r="AH61"/>
      <c r="AI61"/>
      <c r="AJ61"/>
      <c r="AK61"/>
      <c r="AL61"/>
      <c r="AM61"/>
      <c r="AN61"/>
      <c r="AO61"/>
      <c r="AP61"/>
      <c r="AQ61"/>
    </row>
    <row r="62" spans="2:43" s="5" customFormat="1" x14ac:dyDescent="0.55000000000000004">
      <c r="B62" s="8"/>
      <c r="H62" s="19"/>
      <c r="I62" s="19"/>
      <c r="J62" s="19"/>
      <c r="K62" s="19"/>
      <c r="AD62" s="1"/>
      <c r="AE62" s="2"/>
      <c r="AF62" s="2"/>
      <c r="AG62"/>
      <c r="AH62"/>
      <c r="AI62"/>
      <c r="AJ62"/>
      <c r="AK62"/>
      <c r="AL62"/>
      <c r="AM62"/>
      <c r="AN62"/>
      <c r="AO62"/>
      <c r="AP62"/>
      <c r="AQ62"/>
    </row>
    <row r="63" spans="2:43" x14ac:dyDescent="0.55000000000000004">
      <c r="L63"/>
      <c r="M63"/>
      <c r="N63"/>
    </row>
    <row r="64" spans="2:43" x14ac:dyDescent="0.55000000000000004">
      <c r="L64"/>
      <c r="M64"/>
      <c r="N64"/>
    </row>
    <row r="65" spans="12:14" x14ac:dyDescent="0.55000000000000004">
      <c r="L65"/>
      <c r="M65"/>
      <c r="N65"/>
    </row>
  </sheetData>
  <mergeCells count="4">
    <mergeCell ref="F2:J2"/>
    <mergeCell ref="F4:F5"/>
    <mergeCell ref="G4:G5"/>
    <mergeCell ref="M11:N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8334-9EB7-4BD2-A315-820EE5ADBFA5}">
  <dimension ref="B1:AT65"/>
  <sheetViews>
    <sheetView zoomScale="70" zoomScaleNormal="7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27.47265625" bestFit="1" customWidth="1"/>
    <col min="8" max="8" width="12.734375" style="7" customWidth="1"/>
    <col min="9" max="9" width="16.05078125" style="7" customWidth="1"/>
    <col min="10" max="10" width="8.41796875" style="7" customWidth="1"/>
    <col min="11" max="11" width="8.734375" style="7" customWidth="1"/>
    <col min="12" max="12" width="8.41796875" style="7" customWidth="1"/>
    <col min="13" max="13" width="20.68359375" style="7" customWidth="1"/>
    <col min="14" max="14" width="14.05078125" style="7" customWidth="1"/>
    <col min="15" max="15" width="13.5234375" style="7" customWidth="1"/>
    <col min="16" max="16" width="9.734375" style="7" customWidth="1"/>
    <col min="17" max="17" width="12.68359375" style="7" customWidth="1"/>
    <col min="21" max="21" width="18" customWidth="1"/>
    <col min="22" max="23" width="15.734375" customWidth="1"/>
    <col min="24" max="24" width="14.7890625" customWidth="1"/>
  </cols>
  <sheetData>
    <row r="1" spans="2:17" s="5" customFormat="1" x14ac:dyDescent="0.55000000000000004"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2:17" s="5" customFormat="1" x14ac:dyDescent="0.55000000000000004">
      <c r="B2" s="8"/>
      <c r="F2" s="36" t="s">
        <v>47</v>
      </c>
      <c r="G2" s="36"/>
      <c r="H2" s="36"/>
      <c r="I2" s="36"/>
      <c r="J2" s="36"/>
      <c r="K2" s="19"/>
      <c r="L2" s="19"/>
      <c r="M2" s="19"/>
      <c r="N2" s="19"/>
      <c r="O2" s="19"/>
      <c r="P2" s="19"/>
      <c r="Q2" s="19"/>
    </row>
    <row r="3" spans="2:17" s="5" customFormat="1" x14ac:dyDescent="0.55000000000000004">
      <c r="B3" s="8" t="s">
        <v>0</v>
      </c>
      <c r="C3" s="5" t="s">
        <v>29</v>
      </c>
      <c r="F3" s="16"/>
      <c r="G3" s="22"/>
      <c r="H3" s="22"/>
      <c r="I3" s="22"/>
      <c r="J3" s="22"/>
      <c r="M3" s="38" t="s">
        <v>153</v>
      </c>
      <c r="N3" s="38"/>
      <c r="O3" s="19"/>
      <c r="P3" s="19"/>
      <c r="Q3" s="19"/>
    </row>
    <row r="4" spans="2:17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  <c r="M4" s="22" t="s">
        <v>118</v>
      </c>
      <c r="N4" s="12" t="s">
        <v>23</v>
      </c>
      <c r="O4" s="19"/>
      <c r="P4" s="19"/>
      <c r="Q4" s="19"/>
    </row>
    <row r="5" spans="2:17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  <c r="M5" s="22" t="s">
        <v>18</v>
      </c>
      <c r="N5" s="5" t="s">
        <v>24</v>
      </c>
      <c r="O5" s="19"/>
      <c r="P5" s="19"/>
      <c r="Q5" s="19"/>
    </row>
    <row r="6" spans="2:17" s="5" customFormat="1" x14ac:dyDescent="0.55000000000000004">
      <c r="B6" s="8" t="s">
        <v>2</v>
      </c>
      <c r="C6" s="5">
        <v>1</v>
      </c>
      <c r="F6" t="s">
        <v>62</v>
      </c>
      <c r="G6" s="24">
        <v>29</v>
      </c>
      <c r="H6">
        <v>5</v>
      </c>
      <c r="I6">
        <v>0.12</v>
      </c>
      <c r="J6" s="27">
        <v>15.629276153330776</v>
      </c>
      <c r="K6" s="5">
        <f>(J6*(H6+I6)/I6)/39.098</f>
        <v>17.055837021726088</v>
      </c>
      <c r="M6" s="30">
        <v>14.345000000000001</v>
      </c>
      <c r="N6" s="5">
        <f t="shared" ref="N6:N19" si="0">(M6*(H6+I6)/I6)/34.453</f>
        <v>17.764877756170243</v>
      </c>
      <c r="O6" s="19"/>
      <c r="P6" s="19"/>
      <c r="Q6" s="19"/>
    </row>
    <row r="7" spans="2:17" s="5" customFormat="1" x14ac:dyDescent="0.55000000000000004">
      <c r="B7" s="8" t="s">
        <v>3</v>
      </c>
      <c r="C7" s="5" t="s">
        <v>26</v>
      </c>
      <c r="F7" t="s">
        <v>63</v>
      </c>
      <c r="G7" s="25">
        <v>30</v>
      </c>
      <c r="H7">
        <v>5</v>
      </c>
      <c r="I7">
        <v>1.2E-2</v>
      </c>
      <c r="J7" s="28">
        <v>13.629078041179644</v>
      </c>
      <c r="K7" s="5">
        <f t="shared" ref="K7:K19" si="1">(J7*(H7+I7)/I7)/39.098</f>
        <v>145.59342153561218</v>
      </c>
      <c r="M7">
        <v>10.491</v>
      </c>
      <c r="N7" s="5">
        <f t="shared" si="0"/>
        <v>127.18024555191126</v>
      </c>
      <c r="O7" s="19"/>
      <c r="P7" s="19"/>
      <c r="Q7" s="19"/>
    </row>
    <row r="8" spans="2:17" s="5" customFormat="1" x14ac:dyDescent="0.55000000000000004">
      <c r="B8" s="8" t="s">
        <v>4</v>
      </c>
      <c r="C8" s="5">
        <v>15</v>
      </c>
      <c r="D8" s="5" t="s">
        <v>5</v>
      </c>
      <c r="F8" t="s">
        <v>64</v>
      </c>
      <c r="G8" s="24">
        <v>31</v>
      </c>
      <c r="H8">
        <v>5</v>
      </c>
      <c r="I8">
        <v>1.2E-2</v>
      </c>
      <c r="J8" s="28">
        <v>8.3276854869718342</v>
      </c>
      <c r="K8" s="5">
        <f t="shared" si="1"/>
        <v>88.960986198575426</v>
      </c>
      <c r="M8" s="30">
        <v>6.452</v>
      </c>
      <c r="N8" s="5">
        <f t="shared" si="0"/>
        <v>78.216275312261132</v>
      </c>
      <c r="O8" s="19"/>
      <c r="P8" s="19"/>
      <c r="Q8" s="19"/>
    </row>
    <row r="9" spans="2:17" s="5" customFormat="1" x14ac:dyDescent="0.55000000000000004">
      <c r="B9" s="8" t="s">
        <v>6</v>
      </c>
      <c r="C9" s="5">
        <v>120</v>
      </c>
      <c r="D9" s="5" t="s">
        <v>5</v>
      </c>
      <c r="F9" t="s">
        <v>65</v>
      </c>
      <c r="G9" s="25">
        <v>32</v>
      </c>
      <c r="H9">
        <v>5</v>
      </c>
      <c r="I9">
        <v>1.2E-2</v>
      </c>
      <c r="J9" s="27">
        <v>10.896488560627764</v>
      </c>
      <c r="K9" s="5">
        <f t="shared" si="1"/>
        <v>116.40237494216744</v>
      </c>
      <c r="M9">
        <v>8.0310000000000006</v>
      </c>
      <c r="N9" s="5">
        <f t="shared" si="0"/>
        <v>97.358169099933221</v>
      </c>
      <c r="O9" s="19"/>
      <c r="P9" s="19"/>
      <c r="Q9" s="19"/>
    </row>
    <row r="10" spans="2:17" s="5" customFormat="1" x14ac:dyDescent="0.55000000000000004">
      <c r="B10" s="8"/>
      <c r="F10" t="s">
        <v>66</v>
      </c>
      <c r="G10" s="24">
        <v>33</v>
      </c>
      <c r="H10">
        <v>5</v>
      </c>
      <c r="I10">
        <v>2.5000000000000001E-2</v>
      </c>
      <c r="J10" s="28">
        <v>2.2874087305910975</v>
      </c>
      <c r="K10" s="5">
        <f t="shared" si="1"/>
        <v>11.759403418302998</v>
      </c>
      <c r="M10" s="30">
        <v>1.8620000000000001</v>
      </c>
      <c r="N10" s="5">
        <f t="shared" si="0"/>
        <v>10.862972745479349</v>
      </c>
      <c r="O10" s="19"/>
      <c r="P10" s="19"/>
      <c r="Q10" s="19"/>
    </row>
    <row r="11" spans="2:17" s="5" customFormat="1" x14ac:dyDescent="0.55000000000000004">
      <c r="B11" s="8" t="s">
        <v>8</v>
      </c>
      <c r="C11" s="5">
        <v>31.5</v>
      </c>
      <c r="D11" s="5" t="s">
        <v>9</v>
      </c>
      <c r="F11" t="s">
        <v>67</v>
      </c>
      <c r="G11" s="25">
        <v>34</v>
      </c>
      <c r="H11">
        <v>5</v>
      </c>
      <c r="I11">
        <v>2.5000000000000001E-2</v>
      </c>
      <c r="J11" s="27">
        <v>3.8549056398313453</v>
      </c>
      <c r="K11" s="5">
        <f t="shared" si="1"/>
        <v>19.817792050900312</v>
      </c>
      <c r="M11">
        <v>3.1429999999999998</v>
      </c>
      <c r="N11" s="5">
        <f t="shared" si="0"/>
        <v>18.336371288421905</v>
      </c>
      <c r="O11" s="19"/>
      <c r="P11" s="38"/>
      <c r="Q11" s="38"/>
    </row>
    <row r="12" spans="2:17" s="5" customFormat="1" x14ac:dyDescent="0.55000000000000004">
      <c r="B12" s="8" t="s">
        <v>10</v>
      </c>
      <c r="C12" s="5">
        <v>41.5</v>
      </c>
      <c r="D12" s="5" t="s">
        <v>9</v>
      </c>
      <c r="F12" t="s">
        <v>68</v>
      </c>
      <c r="G12" s="24">
        <v>35</v>
      </c>
      <c r="H12">
        <v>5</v>
      </c>
      <c r="I12">
        <v>2.5000000000000001E-2</v>
      </c>
      <c r="J12" s="28">
        <v>5.3827259110882926</v>
      </c>
      <c r="K12" s="5">
        <f t="shared" si="1"/>
        <v>27.672205947330983</v>
      </c>
      <c r="M12" s="30">
        <v>4.9669999999999996</v>
      </c>
      <c r="N12" s="5">
        <f t="shared" si="0"/>
        <v>28.977650712564937</v>
      </c>
      <c r="O12" s="19"/>
      <c r="P12" s="19"/>
      <c r="Q12" s="19"/>
    </row>
    <row r="13" spans="2:17" s="5" customFormat="1" x14ac:dyDescent="0.55000000000000004">
      <c r="B13" s="8" t="s">
        <v>11</v>
      </c>
      <c r="C13" s="5">
        <v>41.4</v>
      </c>
      <c r="D13" s="5" t="s">
        <v>9</v>
      </c>
      <c r="F13" t="s">
        <v>69</v>
      </c>
      <c r="G13" s="25">
        <v>36</v>
      </c>
      <c r="H13">
        <v>5</v>
      </c>
      <c r="I13">
        <v>2.5000000000000001E-2</v>
      </c>
      <c r="J13" s="27">
        <v>7.1808495338772396</v>
      </c>
      <c r="K13" s="5">
        <f t="shared" si="1"/>
        <v>36.916229891793066</v>
      </c>
      <c r="M13">
        <v>5.83</v>
      </c>
      <c r="N13" s="5">
        <f t="shared" si="0"/>
        <v>34.012422720808054</v>
      </c>
      <c r="O13" s="19"/>
      <c r="P13" s="19"/>
      <c r="Q13" s="19"/>
    </row>
    <row r="14" spans="2:17" s="5" customFormat="1" x14ac:dyDescent="0.55000000000000004">
      <c r="B14" s="8"/>
      <c r="F14" t="s">
        <v>70</v>
      </c>
      <c r="G14" s="24">
        <v>37</v>
      </c>
      <c r="H14">
        <v>5</v>
      </c>
      <c r="I14">
        <v>2.5000000000000001E-2</v>
      </c>
      <c r="J14" s="28">
        <v>8.7122897399984964</v>
      </c>
      <c r="K14" s="5">
        <f t="shared" si="1"/>
        <v>44.789253612453265</v>
      </c>
      <c r="M14" s="30">
        <v>6.8979999999999997</v>
      </c>
      <c r="N14" s="5">
        <f t="shared" si="0"/>
        <v>40.243171857312852</v>
      </c>
      <c r="O14" s="19"/>
      <c r="P14" s="19"/>
      <c r="Q14" s="19"/>
    </row>
    <row r="15" spans="2:17" s="5" customFormat="1" x14ac:dyDescent="0.55000000000000004">
      <c r="B15" s="8" t="s">
        <v>12</v>
      </c>
      <c r="C15" s="5">
        <v>6.5149999999999997</v>
      </c>
      <c r="D15" s="5" t="s">
        <v>13</v>
      </c>
      <c r="F15" t="s">
        <v>71</v>
      </c>
      <c r="G15" s="25">
        <v>38</v>
      </c>
      <c r="H15">
        <v>5</v>
      </c>
      <c r="I15">
        <v>2.5000000000000001E-2</v>
      </c>
      <c r="J15" s="27">
        <v>10.423647674333465</v>
      </c>
      <c r="K15" s="5">
        <f t="shared" si="1"/>
        <v>53.587221406236296</v>
      </c>
      <c r="M15">
        <v>8.8940000000000001</v>
      </c>
      <c r="N15" s="5">
        <f t="shared" si="0"/>
        <v>51.887905262241318</v>
      </c>
      <c r="O15" s="19"/>
      <c r="P15" s="19"/>
      <c r="Q15" s="19"/>
    </row>
    <row r="16" spans="2:17" s="5" customFormat="1" x14ac:dyDescent="0.55000000000000004">
      <c r="B16" s="8" t="s">
        <v>14</v>
      </c>
      <c r="C16" s="5">
        <v>42.494</v>
      </c>
      <c r="D16" s="5" t="s">
        <v>13</v>
      </c>
      <c r="F16" t="s">
        <v>72</v>
      </c>
      <c r="G16" s="24">
        <v>39</v>
      </c>
      <c r="H16">
        <v>5</v>
      </c>
      <c r="I16">
        <v>2.5000000000000001E-2</v>
      </c>
      <c r="J16" s="28">
        <v>11.51405434388119</v>
      </c>
      <c r="K16" s="5">
        <f t="shared" si="1"/>
        <v>59.192923502995534</v>
      </c>
      <c r="M16" s="30">
        <v>9.7170000000000005</v>
      </c>
      <c r="N16" s="5">
        <f t="shared" si="0"/>
        <v>56.689315879604102</v>
      </c>
      <c r="O16" s="19"/>
      <c r="P16" s="19"/>
      <c r="Q16" s="19"/>
    </row>
    <row r="17" spans="2:23" s="5" customFormat="1" x14ac:dyDescent="0.55000000000000004">
      <c r="B17" s="8"/>
      <c r="F17" t="s">
        <v>73</v>
      </c>
      <c r="G17" s="25">
        <v>40</v>
      </c>
      <c r="H17">
        <v>5</v>
      </c>
      <c r="I17">
        <v>2.5000000000000001E-2</v>
      </c>
      <c r="J17" s="27">
        <v>13.327085752064237</v>
      </c>
      <c r="K17" s="5">
        <f t="shared" si="1"/>
        <v>68.513587297685604</v>
      </c>
      <c r="M17">
        <v>10.582000000000001</v>
      </c>
      <c r="N17" s="5">
        <f t="shared" si="0"/>
        <v>61.735755957391234</v>
      </c>
      <c r="O17" s="19"/>
      <c r="P17" s="19"/>
      <c r="Q17" s="19"/>
    </row>
    <row r="18" spans="2:23" s="5" customFormat="1" ht="13.9" customHeight="1" x14ac:dyDescent="0.55000000000000004">
      <c r="B18" s="21" t="s">
        <v>19</v>
      </c>
      <c r="C18" s="16">
        <v>2.76</v>
      </c>
      <c r="D18" s="9" t="s">
        <v>9</v>
      </c>
      <c r="F18" t="s">
        <v>74</v>
      </c>
      <c r="G18" s="24">
        <v>41</v>
      </c>
      <c r="H18">
        <v>5</v>
      </c>
      <c r="I18">
        <v>2.5000000000000001E-2</v>
      </c>
      <c r="J18" s="28">
        <v>14.869977123875548</v>
      </c>
      <c r="K18" s="5">
        <f t="shared" si="1"/>
        <v>76.445480635812189</v>
      </c>
      <c r="M18" s="30">
        <v>12.64</v>
      </c>
      <c r="N18" s="5">
        <f t="shared" si="0"/>
        <v>73.742199518184179</v>
      </c>
      <c r="O18" s="19"/>
      <c r="P18" s="19"/>
      <c r="Q18" s="19"/>
    </row>
    <row r="19" spans="2:23" s="12" customFormat="1" ht="13.9" customHeight="1" x14ac:dyDescent="0.55000000000000004">
      <c r="B19" s="21" t="s">
        <v>20</v>
      </c>
      <c r="C19" s="16">
        <v>3.49</v>
      </c>
      <c r="D19" s="9" t="s">
        <v>9</v>
      </c>
      <c r="F19" t="s">
        <v>75</v>
      </c>
      <c r="G19" s="25">
        <v>42</v>
      </c>
      <c r="H19">
        <v>5</v>
      </c>
      <c r="I19">
        <v>2.5000000000000001E-2</v>
      </c>
      <c r="J19" s="27">
        <v>15.561894484816285</v>
      </c>
      <c r="K19" s="5">
        <f t="shared" si="1"/>
        <v>80.002577918258567</v>
      </c>
      <c r="M19">
        <v>13.141999999999999</v>
      </c>
      <c r="N19" s="5">
        <f t="shared" si="0"/>
        <v>76.670884973732328</v>
      </c>
    </row>
    <row r="20" spans="2:23" s="5" customFormat="1" ht="13.9" customHeight="1" x14ac:dyDescent="0.55000000000000004">
      <c r="L20"/>
      <c r="M20" s="12"/>
      <c r="N20" s="13"/>
      <c r="O20" s="13"/>
      <c r="Q20" s="19"/>
      <c r="R20" s="19"/>
      <c r="S20" s="19"/>
      <c r="T20" s="19"/>
      <c r="V20" s="19"/>
      <c r="W20" s="19"/>
    </row>
    <row r="21" spans="2:23" s="5" customFormat="1" ht="13.9" customHeight="1" x14ac:dyDescent="0.55000000000000004">
      <c r="N21" s="19"/>
      <c r="O21" s="13"/>
      <c r="Q21" s="19"/>
      <c r="R21" s="19"/>
      <c r="S21" s="19"/>
      <c r="T21" s="19"/>
      <c r="V21" s="19"/>
      <c r="W21" s="19"/>
    </row>
    <row r="22" spans="2:23" s="5" customFormat="1" ht="13.9" customHeight="1" x14ac:dyDescent="0.55000000000000004">
      <c r="N22" s="19"/>
      <c r="O22" s="11"/>
      <c r="Q22" s="19"/>
      <c r="R22" s="9"/>
      <c r="S22" s="19"/>
      <c r="T22" s="19"/>
      <c r="U22" s="10"/>
      <c r="V22" s="14"/>
      <c r="W22" s="10"/>
    </row>
    <row r="23" spans="2:23" s="5" customFormat="1" ht="13.9" customHeight="1" x14ac:dyDescent="0.55000000000000004">
      <c r="N23" s="19"/>
      <c r="O23" s="11"/>
      <c r="Q23" s="19"/>
      <c r="R23" s="9"/>
      <c r="S23" s="19"/>
      <c r="T23" s="19"/>
      <c r="U23" s="10"/>
      <c r="V23" s="14"/>
      <c r="W23" s="10"/>
    </row>
    <row r="24" spans="2:23" s="5" customFormat="1" ht="13.9" customHeight="1" x14ac:dyDescent="0.55000000000000004">
      <c r="N24" s="19"/>
      <c r="O24" s="11"/>
      <c r="Q24" s="19"/>
      <c r="R24" s="9"/>
      <c r="S24" s="19"/>
      <c r="T24" s="19"/>
      <c r="U24" s="10"/>
      <c r="V24" s="14"/>
      <c r="W24" s="10"/>
    </row>
    <row r="25" spans="2:23" s="5" customFormat="1" ht="13.9" customHeight="1" x14ac:dyDescent="0.55000000000000004">
      <c r="N25" s="19"/>
      <c r="O25" s="11"/>
      <c r="Q25" s="19"/>
      <c r="R25" s="9"/>
      <c r="S25" s="19"/>
      <c r="T25" s="19"/>
      <c r="U25" s="10"/>
      <c r="V25" s="14"/>
      <c r="W25" s="10"/>
    </row>
    <row r="26" spans="2:23" s="5" customFormat="1" ht="13.9" customHeight="1" x14ac:dyDescent="0.55000000000000004">
      <c r="N26" s="19"/>
      <c r="O26" s="11"/>
      <c r="Q26" s="19"/>
      <c r="R26" s="9"/>
      <c r="S26" s="19"/>
      <c r="T26" s="19"/>
      <c r="U26" s="10"/>
      <c r="V26" s="14"/>
      <c r="W26" s="10"/>
    </row>
    <row r="27" spans="2:23" s="5" customFormat="1" ht="13.9" customHeight="1" x14ac:dyDescent="0.55000000000000004">
      <c r="N27" s="19"/>
      <c r="O27" s="11"/>
      <c r="Q27" s="19"/>
      <c r="R27" s="9"/>
      <c r="S27" s="19"/>
      <c r="T27" s="19"/>
      <c r="U27" s="10"/>
      <c r="V27" s="14"/>
      <c r="W27" s="10"/>
    </row>
    <row r="28" spans="2:23" s="5" customFormat="1" ht="13.9" customHeight="1" x14ac:dyDescent="0.55000000000000004">
      <c r="N28" s="19"/>
      <c r="O28" s="11"/>
      <c r="Q28" s="19"/>
      <c r="R28" s="9"/>
      <c r="S28" s="19"/>
      <c r="T28" s="19"/>
      <c r="U28" s="10"/>
      <c r="V28" s="14"/>
      <c r="W28" s="10"/>
    </row>
    <row r="29" spans="2:23" s="5" customFormat="1" ht="13.9" customHeight="1" x14ac:dyDescent="0.55000000000000004">
      <c r="N29" s="19"/>
      <c r="O29" s="11"/>
      <c r="Q29" s="19"/>
      <c r="R29" s="9"/>
      <c r="S29" s="19"/>
      <c r="T29" s="19"/>
      <c r="U29" s="10"/>
      <c r="V29" s="14"/>
      <c r="W29" s="10"/>
    </row>
    <row r="30" spans="2:23" s="5" customFormat="1" x14ac:dyDescent="0.55000000000000004">
      <c r="H30" s="19"/>
      <c r="N30" s="19"/>
      <c r="O30" s="11"/>
      <c r="Q30" s="19"/>
      <c r="R30" s="9"/>
      <c r="S30" s="19"/>
      <c r="T30" s="19"/>
      <c r="U30" s="10"/>
      <c r="V30" s="14"/>
      <c r="W30" s="10"/>
    </row>
    <row r="31" spans="2:23" s="5" customFormat="1" x14ac:dyDescent="0.55000000000000004">
      <c r="H31" s="19"/>
      <c r="N31" s="19"/>
      <c r="O31" s="11"/>
      <c r="Q31" s="19"/>
      <c r="R31" s="9"/>
      <c r="S31" s="19"/>
      <c r="T31" s="19"/>
      <c r="U31" s="10"/>
      <c r="V31" s="14"/>
      <c r="W31" s="10"/>
    </row>
    <row r="32" spans="2:23" s="5" customFormat="1" x14ac:dyDescent="0.55000000000000004">
      <c r="H32" s="19"/>
      <c r="N32" s="19"/>
      <c r="O32" s="11"/>
      <c r="Q32" s="19"/>
      <c r="R32" s="9"/>
      <c r="S32" s="19"/>
      <c r="T32" s="19"/>
      <c r="U32" s="10"/>
      <c r="V32" s="14"/>
      <c r="W32" s="10"/>
    </row>
    <row r="33" spans="2:46" s="5" customFormat="1" x14ac:dyDescent="0.55000000000000004">
      <c r="H33" s="19"/>
      <c r="N33" s="19"/>
      <c r="O33" s="11"/>
      <c r="Q33" s="19"/>
      <c r="R33" s="9"/>
      <c r="S33" s="19"/>
      <c r="T33" s="19"/>
      <c r="U33" s="10"/>
      <c r="V33" s="14"/>
      <c r="W33" s="10"/>
    </row>
    <row r="34" spans="2:46" s="5" customFormat="1" x14ac:dyDescent="0.55000000000000004">
      <c r="H34" s="19"/>
      <c r="N34" s="19"/>
      <c r="O34" s="11"/>
      <c r="Q34" s="19"/>
      <c r="R34" s="9"/>
      <c r="S34" s="19"/>
      <c r="T34" s="19"/>
      <c r="U34" s="10"/>
      <c r="V34" s="14"/>
      <c r="W34" s="10"/>
    </row>
    <row r="35" spans="2:46" s="5" customFormat="1" x14ac:dyDescent="0.55000000000000004">
      <c r="B35" s="16"/>
      <c r="C35" s="19"/>
      <c r="D35" s="19"/>
      <c r="E35" s="15"/>
      <c r="F35" s="17"/>
      <c r="H35" s="19"/>
      <c r="I35" s="9"/>
      <c r="J35" s="19"/>
      <c r="K35" s="19"/>
      <c r="L35" s="10"/>
      <c r="M35" s="10"/>
      <c r="N35" s="19"/>
      <c r="O35" s="11"/>
      <c r="Q35" s="19"/>
      <c r="R35" s="9"/>
      <c r="S35" s="19"/>
      <c r="T35" s="19"/>
      <c r="U35" s="10"/>
      <c r="V35" s="14"/>
      <c r="W35" s="10"/>
    </row>
    <row r="36" spans="2:46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6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19"/>
      <c r="M37" s="19"/>
      <c r="N37" s="9"/>
      <c r="O37" s="10"/>
      <c r="P37" s="19"/>
      <c r="Q37" s="11"/>
    </row>
    <row r="38" spans="2:46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19"/>
      <c r="M38" s="19"/>
      <c r="N38" s="9"/>
      <c r="O38" s="10"/>
      <c r="P38" s="19"/>
      <c r="Q38" s="11"/>
    </row>
    <row r="39" spans="2:46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19"/>
      <c r="M39" s="19"/>
      <c r="N39" s="9"/>
      <c r="O39" s="10"/>
      <c r="P39" s="19"/>
      <c r="Q39" s="11"/>
    </row>
    <row r="40" spans="2:46" s="5" customFormat="1" x14ac:dyDescent="0.55000000000000004">
      <c r="C40" s="8"/>
      <c r="E40" s="8"/>
      <c r="F40" s="18"/>
      <c r="H40" s="19"/>
      <c r="I40" s="19"/>
      <c r="J40" s="19"/>
      <c r="K40" s="19"/>
      <c r="L40" s="19"/>
      <c r="M40" s="19"/>
      <c r="N40" s="19"/>
      <c r="O40" s="6"/>
      <c r="P40" s="19"/>
      <c r="Q40" s="19"/>
    </row>
    <row r="41" spans="2:46" s="5" customFormat="1" x14ac:dyDescent="0.55000000000000004">
      <c r="B41" s="8"/>
      <c r="H41" s="19"/>
      <c r="I41" s="19"/>
      <c r="J41" s="19"/>
      <c r="K41" s="19"/>
      <c r="L41" s="19"/>
      <c r="M41" s="19"/>
      <c r="N41" s="19"/>
      <c r="O41" s="6"/>
      <c r="P41" s="19"/>
      <c r="Q41" s="19"/>
    </row>
    <row r="42" spans="2:46" x14ac:dyDescent="0.55000000000000004">
      <c r="B42" s="8"/>
      <c r="C42" s="5"/>
      <c r="D42" s="5"/>
      <c r="E42" s="5"/>
      <c r="H42" s="19"/>
    </row>
    <row r="43" spans="2:46" x14ac:dyDescent="0.55000000000000004">
      <c r="B43" s="8"/>
      <c r="C43" s="5"/>
      <c r="D43" s="5"/>
      <c r="E43" s="5"/>
    </row>
    <row r="45" spans="2:46" s="5" customFormat="1" x14ac:dyDescent="0.55000000000000004"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spans="2:46" s="5" customFormat="1" x14ac:dyDescent="0.55000000000000004">
      <c r="B46" s="8"/>
      <c r="H46" s="19"/>
      <c r="I46" s="19"/>
      <c r="J46" s="19"/>
      <c r="K46" s="19"/>
      <c r="L46" s="19"/>
      <c r="M46" s="19"/>
      <c r="N46" s="19"/>
      <c r="O46" s="19"/>
      <c r="P46" s="19"/>
      <c r="Q46" s="19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 spans="2:46" s="5" customFormat="1" x14ac:dyDescent="0.55000000000000004">
      <c r="B47" s="8"/>
      <c r="H47" s="19"/>
      <c r="I47" s="19"/>
      <c r="J47" s="19"/>
      <c r="K47" s="19"/>
      <c r="L47" s="19"/>
      <c r="M47" s="19"/>
      <c r="N47" s="19"/>
      <c r="O47" s="19"/>
      <c r="P47" s="19"/>
      <c r="Q47" s="19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 spans="2:46" s="5" customFormat="1" x14ac:dyDescent="0.55000000000000004">
      <c r="B48" s="8"/>
      <c r="H48" s="19"/>
      <c r="I48" s="19"/>
      <c r="J48" s="19"/>
      <c r="K48" s="19"/>
      <c r="L48" s="19"/>
      <c r="M48" s="19"/>
      <c r="N48" s="19"/>
      <c r="O48" s="19"/>
      <c r="P48" s="19"/>
      <c r="Q48" s="19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 spans="2:46" s="5" customFormat="1" x14ac:dyDescent="0.55000000000000004">
      <c r="B49" s="8"/>
      <c r="H49" s="19"/>
      <c r="I49" s="19"/>
      <c r="J49" s="19"/>
      <c r="K49" s="19"/>
      <c r="L49" s="1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 spans="2:46" s="5" customFormat="1" x14ac:dyDescent="0.55000000000000004">
      <c r="B50" s="8"/>
      <c r="H50" s="19"/>
      <c r="I50" s="19"/>
      <c r="J50" s="19"/>
      <c r="K50" s="19"/>
      <c r="L50" s="19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 spans="2:46" s="5" customFormat="1" x14ac:dyDescent="0.55000000000000004">
      <c r="B51" s="8"/>
      <c r="H51" s="19"/>
      <c r="I51" s="19"/>
      <c r="J51" s="19"/>
      <c r="K51" s="19"/>
      <c r="L51" s="19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 spans="2:46" s="5" customFormat="1" x14ac:dyDescent="0.55000000000000004">
      <c r="B52" s="8"/>
      <c r="H52" s="19"/>
      <c r="I52" s="19"/>
      <c r="J52" s="19"/>
      <c r="K52" s="19"/>
      <c r="L52" s="19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 spans="2:46" s="5" customFormat="1" x14ac:dyDescent="0.55000000000000004">
      <c r="B53" s="8"/>
      <c r="H53" s="19"/>
      <c r="I53" s="19"/>
      <c r="J53" s="19"/>
      <c r="K53" s="19"/>
      <c r="L53" s="19"/>
      <c r="AG53" s="1"/>
      <c r="AH53" s="2"/>
      <c r="AI53" s="2"/>
      <c r="AJ53"/>
      <c r="AK53"/>
      <c r="AL53"/>
      <c r="AM53"/>
      <c r="AN53"/>
      <c r="AO53"/>
      <c r="AP53"/>
      <c r="AQ53"/>
      <c r="AR53"/>
      <c r="AS53"/>
      <c r="AT53"/>
    </row>
    <row r="54" spans="2:46" s="5" customFormat="1" x14ac:dyDescent="0.55000000000000004">
      <c r="B54" s="8"/>
      <c r="H54" s="19"/>
      <c r="I54" s="19"/>
      <c r="J54" s="19"/>
      <c r="K54" s="19"/>
      <c r="L54" s="19"/>
      <c r="AG54" s="1"/>
      <c r="AH54" s="2"/>
      <c r="AI54" s="2"/>
      <c r="AJ54"/>
      <c r="AK54"/>
      <c r="AL54"/>
      <c r="AM54"/>
      <c r="AN54"/>
      <c r="AO54"/>
      <c r="AP54"/>
      <c r="AQ54"/>
      <c r="AR54"/>
      <c r="AS54"/>
      <c r="AT54"/>
    </row>
    <row r="55" spans="2:46" s="5" customFormat="1" x14ac:dyDescent="0.55000000000000004">
      <c r="B55" s="8"/>
      <c r="H55" s="19"/>
      <c r="I55" s="19"/>
      <c r="J55" s="19"/>
      <c r="K55" s="19"/>
      <c r="L55" s="19"/>
      <c r="AG55" s="1"/>
      <c r="AH55" s="3"/>
      <c r="AI55" s="3"/>
      <c r="AJ55"/>
      <c r="AK55" s="4"/>
      <c r="AL55" s="4"/>
      <c r="AM55" s="1"/>
      <c r="AN55" s="1"/>
      <c r="AO55"/>
      <c r="AP55"/>
      <c r="AQ55"/>
      <c r="AR55"/>
      <c r="AS55"/>
      <c r="AT55"/>
    </row>
    <row r="56" spans="2:46" s="5" customFormat="1" x14ac:dyDescent="0.55000000000000004">
      <c r="B56" s="8"/>
      <c r="H56" s="19"/>
      <c r="I56" s="19"/>
      <c r="J56" s="19"/>
      <c r="K56" s="19"/>
      <c r="L56" s="19"/>
      <c r="AG56" s="1"/>
      <c r="AH56" s="3"/>
      <c r="AI56" s="3"/>
      <c r="AJ56"/>
      <c r="AK56" s="4"/>
      <c r="AL56" s="4"/>
      <c r="AM56" s="1"/>
      <c r="AN56" s="1"/>
      <c r="AO56"/>
      <c r="AP56"/>
      <c r="AQ56"/>
      <c r="AR56"/>
      <c r="AS56"/>
      <c r="AT56"/>
    </row>
    <row r="57" spans="2:46" s="5" customFormat="1" x14ac:dyDescent="0.55000000000000004">
      <c r="B57" s="8"/>
      <c r="H57" s="19"/>
      <c r="I57" s="19"/>
      <c r="J57" s="19"/>
      <c r="K57" s="19"/>
      <c r="L57" s="19"/>
      <c r="AG57" s="1"/>
      <c r="AH57" s="3"/>
      <c r="AI57" s="3"/>
      <c r="AJ57"/>
      <c r="AK57" s="4"/>
      <c r="AL57" s="4"/>
      <c r="AM57" s="1"/>
      <c r="AN57" s="1"/>
      <c r="AO57"/>
      <c r="AP57"/>
      <c r="AQ57"/>
      <c r="AR57"/>
      <c r="AS57"/>
      <c r="AT57"/>
    </row>
    <row r="58" spans="2:46" s="5" customFormat="1" x14ac:dyDescent="0.55000000000000004">
      <c r="B58" s="8"/>
      <c r="H58" s="19"/>
      <c r="I58" s="19"/>
      <c r="J58" s="19"/>
      <c r="K58" s="19"/>
      <c r="L58" s="19"/>
      <c r="AG58" s="1"/>
      <c r="AH58" s="3"/>
      <c r="AI58" s="3"/>
      <c r="AJ58"/>
      <c r="AK58" s="4"/>
      <c r="AL58" s="4"/>
      <c r="AM58" s="1"/>
      <c r="AN58" s="1"/>
      <c r="AO58"/>
      <c r="AP58"/>
      <c r="AQ58"/>
      <c r="AR58"/>
      <c r="AS58"/>
      <c r="AT58"/>
    </row>
    <row r="59" spans="2:46" s="5" customFormat="1" x14ac:dyDescent="0.55000000000000004">
      <c r="B59" s="8"/>
      <c r="H59" s="19"/>
      <c r="I59" s="19"/>
      <c r="J59" s="19"/>
      <c r="K59" s="19"/>
      <c r="L59" s="19"/>
      <c r="AG59" s="1"/>
      <c r="AH59" s="3"/>
      <c r="AI59" s="3"/>
      <c r="AJ59"/>
      <c r="AK59" s="4"/>
      <c r="AL59" s="4"/>
      <c r="AM59" s="1"/>
      <c r="AN59" s="1"/>
      <c r="AO59"/>
      <c r="AP59"/>
      <c r="AQ59"/>
      <c r="AR59"/>
      <c r="AS59"/>
      <c r="AT59"/>
    </row>
    <row r="60" spans="2:46" s="5" customFormat="1" x14ac:dyDescent="0.55000000000000004">
      <c r="B60" s="8"/>
      <c r="H60" s="19"/>
      <c r="I60" s="19"/>
      <c r="J60" s="19"/>
      <c r="K60" s="19"/>
      <c r="L60" s="19"/>
      <c r="AG60" s="1"/>
      <c r="AH60" s="3"/>
      <c r="AI60" s="3"/>
      <c r="AJ60"/>
      <c r="AK60" s="4"/>
      <c r="AL60" s="4"/>
      <c r="AM60" s="1"/>
      <c r="AN60" s="1"/>
      <c r="AO60"/>
      <c r="AP60"/>
      <c r="AQ60"/>
      <c r="AR60"/>
      <c r="AS60"/>
      <c r="AT60"/>
    </row>
    <row r="61" spans="2:46" s="5" customFormat="1" x14ac:dyDescent="0.55000000000000004">
      <c r="B61" s="8"/>
      <c r="H61" s="19"/>
      <c r="I61" s="19"/>
      <c r="J61" s="19"/>
      <c r="K61" s="19"/>
      <c r="L61" s="19"/>
      <c r="AG61" s="1"/>
      <c r="AH61" s="2"/>
      <c r="AI61" s="2"/>
      <c r="AJ61"/>
      <c r="AK61"/>
      <c r="AL61"/>
      <c r="AM61"/>
      <c r="AN61"/>
      <c r="AO61"/>
      <c r="AP61"/>
      <c r="AQ61"/>
      <c r="AR61"/>
      <c r="AS61"/>
      <c r="AT61"/>
    </row>
    <row r="62" spans="2:46" s="5" customFormat="1" x14ac:dyDescent="0.55000000000000004">
      <c r="B62" s="8"/>
      <c r="H62" s="19"/>
      <c r="I62" s="19"/>
      <c r="J62" s="19"/>
      <c r="K62" s="19"/>
      <c r="L62" s="19"/>
      <c r="AG62" s="1"/>
      <c r="AH62" s="2"/>
      <c r="AI62" s="2"/>
      <c r="AJ62"/>
      <c r="AK62"/>
      <c r="AL62"/>
      <c r="AM62"/>
      <c r="AN62"/>
      <c r="AO62"/>
      <c r="AP62"/>
      <c r="AQ62"/>
      <c r="AR62"/>
      <c r="AS62"/>
      <c r="AT62"/>
    </row>
    <row r="63" spans="2:46" x14ac:dyDescent="0.55000000000000004">
      <c r="M63"/>
      <c r="N63"/>
      <c r="O63"/>
      <c r="P63"/>
      <c r="Q63"/>
    </row>
    <row r="64" spans="2:46" x14ac:dyDescent="0.55000000000000004">
      <c r="M64"/>
      <c r="N64"/>
      <c r="O64"/>
      <c r="P64"/>
      <c r="Q64"/>
    </row>
    <row r="65" spans="13:17" x14ac:dyDescent="0.55000000000000004">
      <c r="M65"/>
      <c r="N65"/>
      <c r="O65"/>
      <c r="P65"/>
      <c r="Q65"/>
    </row>
  </sheetData>
  <mergeCells count="5">
    <mergeCell ref="F2:J2"/>
    <mergeCell ref="F4:F5"/>
    <mergeCell ref="G4:G5"/>
    <mergeCell ref="P11:Q11"/>
    <mergeCell ref="M3:N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14FB-F4C1-4ED6-90C2-01F5B4042159}">
  <dimension ref="B1:AQ65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2.7890625" bestFit="1" customWidth="1"/>
    <col min="4" max="4" width="13.26171875" customWidth="1"/>
    <col min="5" max="5" width="15.83984375" customWidth="1"/>
    <col min="6" max="6" width="28.5234375" bestFit="1" customWidth="1"/>
    <col min="7" max="7" width="5.3125" bestFit="1" customWidth="1"/>
    <col min="8" max="8" width="8.7890625" style="7" bestFit="1" customWidth="1"/>
    <col min="9" max="9" width="6.47265625" style="7" bestFit="1" customWidth="1"/>
    <col min="10" max="10" width="7.3671875" style="7" bestFit="1" customWidth="1"/>
    <col min="11" max="11" width="8.734375" style="7" customWidth="1"/>
    <col min="12" max="12" width="13.5234375" style="7" customWidth="1"/>
    <col min="13" max="13" width="9.734375" style="7" customWidth="1"/>
    <col min="14" max="14" width="12.68359375" style="7" customWidth="1"/>
    <col min="18" max="18" width="18" customWidth="1"/>
    <col min="19" max="20" width="15.734375" customWidth="1"/>
    <col min="21" max="21" width="14.7890625" customWidth="1"/>
  </cols>
  <sheetData>
    <row r="1" spans="2:14" s="5" customFormat="1" x14ac:dyDescent="0.55000000000000004">
      <c r="H1" s="19"/>
      <c r="I1" s="19"/>
      <c r="J1" s="19"/>
      <c r="K1" s="19"/>
      <c r="L1" s="19"/>
      <c r="M1" s="19"/>
      <c r="N1" s="19"/>
    </row>
    <row r="2" spans="2:14" s="5" customFormat="1" x14ac:dyDescent="0.55000000000000004">
      <c r="B2" s="8"/>
      <c r="F2" s="36" t="s">
        <v>47</v>
      </c>
      <c r="G2" s="36"/>
      <c r="H2" s="36"/>
      <c r="I2" s="36"/>
      <c r="J2" s="36"/>
      <c r="K2" s="19"/>
      <c r="L2" s="19"/>
      <c r="M2" s="19"/>
      <c r="N2" s="19"/>
    </row>
    <row r="3" spans="2:14" s="5" customFormat="1" x14ac:dyDescent="0.55000000000000004">
      <c r="B3" s="8" t="s">
        <v>0</v>
      </c>
      <c r="C3" s="5" t="s">
        <v>30</v>
      </c>
      <c r="F3" s="16"/>
      <c r="G3" s="22"/>
      <c r="H3" s="22"/>
      <c r="I3" s="22"/>
      <c r="L3" s="19"/>
      <c r="M3" s="38" t="s">
        <v>153</v>
      </c>
      <c r="N3" s="38"/>
    </row>
    <row r="4" spans="2:14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5" t="s">
        <v>22</v>
      </c>
      <c r="K4" s="12" t="s">
        <v>23</v>
      </c>
      <c r="M4" s="5" t="s">
        <v>118</v>
      </c>
      <c r="N4" s="12" t="s">
        <v>23</v>
      </c>
    </row>
    <row r="5" spans="2:14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5" t="s">
        <v>24</v>
      </c>
      <c r="K5" s="5" t="s">
        <v>18</v>
      </c>
      <c r="M5" s="5" t="s">
        <v>24</v>
      </c>
      <c r="N5" s="5" t="s">
        <v>24</v>
      </c>
    </row>
    <row r="6" spans="2:14" s="5" customFormat="1" x14ac:dyDescent="0.55000000000000004">
      <c r="B6" s="8" t="s">
        <v>2</v>
      </c>
      <c r="C6" s="5">
        <v>1</v>
      </c>
      <c r="F6" t="s">
        <v>76</v>
      </c>
      <c r="G6" s="24">
        <v>43</v>
      </c>
      <c r="H6">
        <v>5</v>
      </c>
      <c r="I6">
        <v>0.12</v>
      </c>
      <c r="J6" s="28">
        <v>16.021199839966979</v>
      </c>
      <c r="K6" s="5">
        <f>(J6*(H6+I6)/I6)/39.098</f>
        <v>17.483533509947428</v>
      </c>
      <c r="M6" s="30">
        <v>13.613</v>
      </c>
      <c r="N6" s="5">
        <f t="shared" ref="N6:N19" si="0">(M6*(H6+I6)/I6)/34.453</f>
        <v>16.858367437765455</v>
      </c>
    </row>
    <row r="7" spans="2:14" s="5" customFormat="1" x14ac:dyDescent="0.55000000000000004">
      <c r="B7" s="8" t="s">
        <v>3</v>
      </c>
      <c r="C7" s="5" t="s">
        <v>26</v>
      </c>
      <c r="F7" t="s">
        <v>77</v>
      </c>
      <c r="G7" s="25">
        <v>44</v>
      </c>
      <c r="H7">
        <v>5</v>
      </c>
      <c r="I7">
        <v>1.2E-2</v>
      </c>
      <c r="J7" s="27">
        <v>14.864254813792932</v>
      </c>
      <c r="K7" s="5">
        <f t="shared" ref="K7:K19" si="1">(J7*(H7+I7)/I7)/39.098</f>
        <v>158.78826949104425</v>
      </c>
      <c r="M7">
        <v>10.451000000000001</v>
      </c>
      <c r="N7" s="5">
        <f t="shared" si="0"/>
        <v>126.69533373968399</v>
      </c>
    </row>
    <row r="8" spans="2:14" s="5" customFormat="1" x14ac:dyDescent="0.55000000000000004">
      <c r="B8" s="8" t="s">
        <v>4</v>
      </c>
      <c r="C8" s="5">
        <v>15</v>
      </c>
      <c r="D8" s="5" t="s">
        <v>5</v>
      </c>
      <c r="F8" t="s">
        <v>78</v>
      </c>
      <c r="G8" s="24">
        <v>45</v>
      </c>
      <c r="H8">
        <v>5</v>
      </c>
      <c r="I8">
        <v>1.2E-2</v>
      </c>
      <c r="J8" s="28">
        <v>9.0405060879612691</v>
      </c>
      <c r="K8" s="5">
        <f t="shared" si="1"/>
        <v>96.575733867166846</v>
      </c>
      <c r="M8" s="30">
        <v>7.149</v>
      </c>
      <c r="N8" s="5">
        <f t="shared" si="0"/>
        <v>86.665863640321589</v>
      </c>
    </row>
    <row r="9" spans="2:14" s="5" customFormat="1" x14ac:dyDescent="0.55000000000000004">
      <c r="B9" s="8" t="s">
        <v>6</v>
      </c>
      <c r="C9" s="5">
        <v>120</v>
      </c>
      <c r="D9" s="5" t="s">
        <v>5</v>
      </c>
      <c r="F9" t="s">
        <v>79</v>
      </c>
      <c r="G9" s="25">
        <v>46</v>
      </c>
      <c r="H9">
        <v>5</v>
      </c>
      <c r="I9">
        <v>1.2E-2</v>
      </c>
      <c r="J9" s="27">
        <v>10.965992677706234</v>
      </c>
      <c r="K9" s="5">
        <f t="shared" si="1"/>
        <v>117.14485672895383</v>
      </c>
      <c r="M9">
        <v>8.4930000000000003</v>
      </c>
      <c r="N9" s="5">
        <f t="shared" si="0"/>
        <v>102.95890053115838</v>
      </c>
    </row>
    <row r="10" spans="2:14" s="5" customFormat="1" x14ac:dyDescent="0.55000000000000004">
      <c r="B10" s="8"/>
      <c r="F10" t="s">
        <v>80</v>
      </c>
      <c r="G10" s="24">
        <v>47</v>
      </c>
      <c r="H10">
        <v>5</v>
      </c>
      <c r="I10">
        <v>2.5000000000000001E-2</v>
      </c>
      <c r="J10" s="28">
        <v>2.2033334907580002</v>
      </c>
      <c r="K10" s="5">
        <f t="shared" si="1"/>
        <v>11.327178670069006</v>
      </c>
      <c r="M10" s="30">
        <v>3.089</v>
      </c>
      <c r="N10" s="5">
        <f t="shared" si="0"/>
        <v>18.021333410733462</v>
      </c>
    </row>
    <row r="11" spans="2:14" s="5" customFormat="1" x14ac:dyDescent="0.55000000000000004">
      <c r="B11" s="8" t="s">
        <v>8</v>
      </c>
      <c r="C11" s="5">
        <v>31.62</v>
      </c>
      <c r="D11" s="5" t="s">
        <v>9</v>
      </c>
      <c r="F11" t="s">
        <v>81</v>
      </c>
      <c r="G11" s="25">
        <v>48</v>
      </c>
      <c r="H11">
        <v>5</v>
      </c>
      <c r="I11">
        <v>2.5000000000000001E-2</v>
      </c>
      <c r="J11" s="27">
        <v>2.8168397656310087</v>
      </c>
      <c r="K11" s="5">
        <f t="shared" si="1"/>
        <v>14.481170210543578</v>
      </c>
      <c r="M11">
        <v>4.827</v>
      </c>
      <c r="N11" s="5">
        <f t="shared" si="0"/>
        <v>28.160885844483786</v>
      </c>
    </row>
    <row r="12" spans="2:14" s="5" customFormat="1" x14ac:dyDescent="0.55000000000000004">
      <c r="B12" s="8" t="s">
        <v>10</v>
      </c>
      <c r="C12" s="5">
        <v>41.62</v>
      </c>
      <c r="D12" s="5" t="s">
        <v>9</v>
      </c>
      <c r="F12" t="s">
        <v>82</v>
      </c>
      <c r="G12" s="24">
        <v>49</v>
      </c>
      <c r="H12">
        <v>5</v>
      </c>
      <c r="I12">
        <v>2.5000000000000001E-2</v>
      </c>
      <c r="J12" s="28">
        <v>4.3802456446306932</v>
      </c>
      <c r="K12" s="5">
        <f t="shared" si="1"/>
        <v>22.518527151536379</v>
      </c>
      <c r="M12" s="30">
        <v>6.3550000000000004</v>
      </c>
      <c r="N12" s="5">
        <f t="shared" si="0"/>
        <v>37.075290976112385</v>
      </c>
    </row>
    <row r="13" spans="2:14" s="5" customFormat="1" x14ac:dyDescent="0.55000000000000004">
      <c r="B13" s="8" t="s">
        <v>11</v>
      </c>
      <c r="C13" s="5">
        <v>40.72</v>
      </c>
      <c r="D13" s="5" t="s">
        <v>9</v>
      </c>
      <c r="F13" t="s">
        <v>83</v>
      </c>
      <c r="G13" s="25">
        <v>50</v>
      </c>
      <c r="H13">
        <v>5</v>
      </c>
      <c r="I13">
        <v>2.5000000000000001E-2</v>
      </c>
      <c r="J13" s="27">
        <v>6.3958239053221533</v>
      </c>
      <c r="K13" s="5">
        <f t="shared" si="1"/>
        <v>32.880469716347449</v>
      </c>
      <c r="M13">
        <v>7.4749999999999996</v>
      </c>
      <c r="N13" s="5">
        <f t="shared" si="0"/>
        <v>43.609409920761614</v>
      </c>
    </row>
    <row r="14" spans="2:14" s="5" customFormat="1" x14ac:dyDescent="0.55000000000000004">
      <c r="B14" s="8"/>
      <c r="F14" t="s">
        <v>84</v>
      </c>
      <c r="G14" s="24">
        <v>51</v>
      </c>
      <c r="H14">
        <v>5</v>
      </c>
      <c r="I14">
        <v>2.5000000000000001E-2</v>
      </c>
      <c r="J14" s="28">
        <v>8.2674830172466702</v>
      </c>
      <c r="K14" s="5">
        <f t="shared" si="1"/>
        <v>42.50253431036321</v>
      </c>
      <c r="M14" s="30">
        <v>8.5090000000000003</v>
      </c>
      <c r="N14" s="5">
        <f t="shared" si="0"/>
        <v>49.641801875018139</v>
      </c>
    </row>
    <row r="15" spans="2:14" s="5" customFormat="1" x14ac:dyDescent="0.55000000000000004">
      <c r="B15" s="8" t="s">
        <v>12</v>
      </c>
      <c r="C15" s="5">
        <v>6.2080000000000002</v>
      </c>
      <c r="D15" s="5" t="s">
        <v>13</v>
      </c>
      <c r="F15" t="s">
        <v>85</v>
      </c>
      <c r="G15" s="25">
        <v>52</v>
      </c>
      <c r="H15">
        <v>5</v>
      </c>
      <c r="I15">
        <v>2.5000000000000001E-2</v>
      </c>
      <c r="J15" s="27">
        <v>11.372053699120192</v>
      </c>
      <c r="K15" s="5">
        <f t="shared" si="1"/>
        <v>58.462908423018028</v>
      </c>
      <c r="M15">
        <v>8.9079999999999995</v>
      </c>
      <c r="N15" s="5">
        <f t="shared" si="0"/>
        <v>51.969581749049425</v>
      </c>
    </row>
    <row r="16" spans="2:14" s="5" customFormat="1" x14ac:dyDescent="0.55000000000000004">
      <c r="B16" s="8" t="s">
        <v>14</v>
      </c>
      <c r="C16" s="5">
        <v>40.466000000000001</v>
      </c>
      <c r="D16" s="5" t="s">
        <v>13</v>
      </c>
      <c r="F16" t="s">
        <v>86</v>
      </c>
      <c r="G16" s="24">
        <v>53</v>
      </c>
      <c r="H16">
        <v>5</v>
      </c>
      <c r="I16">
        <v>2.5000000000000001E-2</v>
      </c>
      <c r="J16" s="28">
        <v>12.158142730610614</v>
      </c>
      <c r="K16" s="5">
        <f t="shared" si="1"/>
        <v>62.504135476309102</v>
      </c>
      <c r="M16" s="30">
        <v>10.367000000000001</v>
      </c>
      <c r="N16" s="5">
        <f t="shared" si="0"/>
        <v>60.481438481409462</v>
      </c>
    </row>
    <row r="17" spans="2:20" s="5" customFormat="1" x14ac:dyDescent="0.55000000000000004">
      <c r="B17" s="8"/>
      <c r="F17" t="s">
        <v>87</v>
      </c>
      <c r="G17" s="25">
        <v>54</v>
      </c>
      <c r="H17">
        <v>5</v>
      </c>
      <c r="I17">
        <v>2.5000000000000001E-2</v>
      </c>
      <c r="J17" s="27">
        <v>15.422428471544293</v>
      </c>
      <c r="K17" s="5">
        <f t="shared" si="1"/>
        <v>79.28559319608172</v>
      </c>
      <c r="M17">
        <v>11.233000000000001</v>
      </c>
      <c r="N17" s="5">
        <f t="shared" si="0"/>
        <v>65.533712593968588</v>
      </c>
    </row>
    <row r="18" spans="2:20" s="5" customFormat="1" ht="13.9" customHeight="1" x14ac:dyDescent="0.55000000000000004">
      <c r="B18" s="21" t="s">
        <v>19</v>
      </c>
      <c r="C18" s="16">
        <v>2.74</v>
      </c>
      <c r="D18" s="9" t="s">
        <v>9</v>
      </c>
      <c r="F18" t="s">
        <v>88</v>
      </c>
      <c r="G18" s="24">
        <v>55</v>
      </c>
      <c r="H18">
        <v>5</v>
      </c>
      <c r="I18">
        <v>2.5000000000000001E-2</v>
      </c>
      <c r="J18" s="28">
        <v>14.924274500216029</v>
      </c>
      <c r="K18" s="5">
        <f t="shared" si="1"/>
        <v>76.724619534079039</v>
      </c>
      <c r="M18" s="30">
        <v>12.295999999999999</v>
      </c>
      <c r="N18" s="5">
        <f t="shared" si="0"/>
        <v>71.735291556613348</v>
      </c>
    </row>
    <row r="19" spans="2:20" s="12" customFormat="1" ht="13.9" customHeight="1" x14ac:dyDescent="0.55000000000000004">
      <c r="B19" s="21" t="s">
        <v>20</v>
      </c>
      <c r="C19" s="16">
        <v>3.52</v>
      </c>
      <c r="D19" s="9" t="s">
        <v>9</v>
      </c>
      <c r="F19" t="s">
        <v>89</v>
      </c>
      <c r="G19" s="25">
        <v>56</v>
      </c>
      <c r="H19">
        <v>5</v>
      </c>
      <c r="I19">
        <v>2.5000000000000001E-2</v>
      </c>
      <c r="J19" s="27">
        <v>16.49834463013201</v>
      </c>
      <c r="K19" s="5">
        <f t="shared" si="1"/>
        <v>84.816800620403455</v>
      </c>
      <c r="M19">
        <v>12.858000000000001</v>
      </c>
      <c r="N19" s="5">
        <f t="shared" si="0"/>
        <v>75.014019098481981</v>
      </c>
    </row>
    <row r="20" spans="2:20" s="5" customFormat="1" ht="13.9" customHeight="1" x14ac:dyDescent="0.55000000000000004">
      <c r="L20" s="13"/>
      <c r="N20" s="19"/>
      <c r="O20" s="19"/>
      <c r="P20" s="19"/>
      <c r="Q20" s="19"/>
      <c r="S20" s="19"/>
      <c r="T20" s="19"/>
    </row>
    <row r="21" spans="2:20" s="5" customFormat="1" ht="13.9" customHeight="1" x14ac:dyDescent="0.55000000000000004">
      <c r="L21" s="13"/>
      <c r="N21" s="19"/>
      <c r="O21" s="19"/>
      <c r="P21" s="19"/>
      <c r="Q21" s="19"/>
      <c r="S21" s="19"/>
      <c r="T21" s="19"/>
    </row>
    <row r="22" spans="2:20" s="5" customFormat="1" ht="13.9" customHeight="1" x14ac:dyDescent="0.55000000000000004">
      <c r="L22" s="11"/>
      <c r="N22" s="19"/>
      <c r="O22" s="9"/>
      <c r="P22" s="19"/>
      <c r="Q22" s="19"/>
      <c r="R22" s="10"/>
      <c r="S22" s="14"/>
      <c r="T22" s="10"/>
    </row>
    <row r="23" spans="2:20" s="5" customFormat="1" ht="13.9" customHeight="1" x14ac:dyDescent="0.55000000000000004">
      <c r="L23" s="11"/>
      <c r="N23" s="19"/>
      <c r="O23" s="9"/>
      <c r="P23" s="19"/>
      <c r="Q23" s="19"/>
      <c r="R23" s="10"/>
      <c r="S23" s="14"/>
      <c r="T23" s="10"/>
    </row>
    <row r="24" spans="2:20" s="5" customFormat="1" ht="13.9" customHeight="1" x14ac:dyDescent="0.55000000000000004">
      <c r="L24" s="11"/>
      <c r="N24" s="19"/>
      <c r="O24" s="9"/>
      <c r="P24" s="19"/>
      <c r="Q24" s="19"/>
      <c r="R24" s="10"/>
      <c r="S24" s="14"/>
      <c r="T24" s="10"/>
    </row>
    <row r="25" spans="2:20" s="5" customFormat="1" ht="13.9" customHeight="1" x14ac:dyDescent="0.55000000000000004">
      <c r="L25" s="11"/>
      <c r="N25" s="19"/>
      <c r="O25" s="9"/>
      <c r="P25" s="19"/>
      <c r="Q25" s="19"/>
      <c r="R25" s="10"/>
      <c r="S25" s="14"/>
      <c r="T25" s="10"/>
    </row>
    <row r="26" spans="2:20" s="5" customFormat="1" ht="13.9" customHeight="1" x14ac:dyDescent="0.55000000000000004">
      <c r="L26" s="11"/>
      <c r="N26" s="19"/>
      <c r="O26" s="9"/>
      <c r="P26" s="19"/>
      <c r="Q26" s="19"/>
      <c r="R26" s="10"/>
      <c r="S26" s="14"/>
      <c r="T26" s="10"/>
    </row>
    <row r="27" spans="2:20" s="5" customFormat="1" ht="13.9" customHeight="1" x14ac:dyDescent="0.55000000000000004">
      <c r="L27" s="11"/>
      <c r="N27" s="19"/>
      <c r="O27" s="9"/>
      <c r="P27" s="19"/>
      <c r="Q27" s="19"/>
      <c r="R27" s="10"/>
      <c r="S27" s="14"/>
      <c r="T27" s="10"/>
    </row>
    <row r="28" spans="2:20" s="5" customFormat="1" ht="13.9" customHeight="1" x14ac:dyDescent="0.55000000000000004">
      <c r="L28" s="11"/>
      <c r="N28" s="19"/>
      <c r="O28" s="9"/>
      <c r="P28" s="19"/>
      <c r="Q28" s="19"/>
      <c r="R28" s="10"/>
      <c r="S28" s="14"/>
      <c r="T28" s="10"/>
    </row>
    <row r="29" spans="2:20" s="5" customFormat="1" ht="13.9" customHeight="1" x14ac:dyDescent="0.55000000000000004">
      <c r="L29" s="11"/>
      <c r="N29" s="19"/>
      <c r="O29" s="9"/>
      <c r="P29" s="19"/>
      <c r="Q29" s="19"/>
      <c r="R29" s="10"/>
      <c r="S29" s="14"/>
      <c r="T29" s="10"/>
    </row>
    <row r="30" spans="2:20" s="5" customFormat="1" x14ac:dyDescent="0.55000000000000004">
      <c r="H30" s="19"/>
      <c r="L30" s="11"/>
      <c r="N30" s="19"/>
      <c r="O30" s="9"/>
      <c r="P30" s="19"/>
      <c r="Q30" s="19"/>
      <c r="R30" s="10"/>
      <c r="S30" s="14"/>
      <c r="T30" s="10"/>
    </row>
    <row r="31" spans="2:20" s="5" customFormat="1" x14ac:dyDescent="0.55000000000000004">
      <c r="H31" s="19"/>
      <c r="L31" s="11"/>
      <c r="N31" s="19"/>
      <c r="O31" s="9"/>
      <c r="P31" s="19"/>
      <c r="Q31" s="19"/>
      <c r="R31" s="10"/>
      <c r="S31" s="14"/>
      <c r="T31" s="10"/>
    </row>
    <row r="32" spans="2:20" s="5" customFormat="1" x14ac:dyDescent="0.55000000000000004">
      <c r="H32" s="19"/>
      <c r="L32" s="11"/>
      <c r="N32" s="19"/>
      <c r="O32" s="9"/>
      <c r="P32" s="19"/>
      <c r="Q32" s="19"/>
      <c r="R32" s="10"/>
      <c r="S32" s="14"/>
      <c r="T32" s="10"/>
    </row>
    <row r="33" spans="2:43" s="5" customFormat="1" x14ac:dyDescent="0.55000000000000004">
      <c r="H33" s="19"/>
      <c r="L33" s="11"/>
      <c r="N33" s="19"/>
      <c r="O33" s="9"/>
      <c r="P33" s="19"/>
      <c r="Q33" s="19"/>
      <c r="R33" s="10"/>
      <c r="S33" s="14"/>
      <c r="T33" s="10"/>
    </row>
    <row r="34" spans="2:43" s="5" customFormat="1" x14ac:dyDescent="0.55000000000000004">
      <c r="H34" s="19"/>
      <c r="L34" s="11"/>
      <c r="N34" s="19"/>
      <c r="O34" s="9"/>
      <c r="P34" s="19"/>
      <c r="Q34" s="19"/>
      <c r="R34" s="10"/>
      <c r="S34" s="14"/>
      <c r="T34" s="10"/>
    </row>
    <row r="35" spans="2:43" s="5" customFormat="1" x14ac:dyDescent="0.55000000000000004">
      <c r="B35" s="16"/>
      <c r="C35" s="19"/>
      <c r="D35" s="19"/>
      <c r="E35" s="15"/>
      <c r="F35" s="17"/>
      <c r="H35" s="19"/>
      <c r="I35" s="9"/>
      <c r="K35" s="19"/>
      <c r="L35" s="11"/>
      <c r="N35" s="19"/>
      <c r="O35" s="9"/>
      <c r="P35" s="19"/>
      <c r="Q35" s="19"/>
      <c r="R35" s="10"/>
      <c r="S35" s="14"/>
      <c r="T35" s="10"/>
    </row>
    <row r="36" spans="2:43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3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10"/>
      <c r="M37" s="19"/>
      <c r="N37" s="11"/>
    </row>
    <row r="38" spans="2:43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10"/>
      <c r="M38" s="19"/>
      <c r="N38" s="11"/>
    </row>
    <row r="39" spans="2:43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10"/>
      <c r="M39" s="19"/>
      <c r="N39" s="11"/>
    </row>
    <row r="40" spans="2:43" s="5" customFormat="1" x14ac:dyDescent="0.55000000000000004">
      <c r="C40" s="8"/>
      <c r="E40" s="8"/>
      <c r="F40" s="18"/>
      <c r="H40" s="19"/>
      <c r="I40" s="19"/>
      <c r="J40" s="19"/>
      <c r="K40" s="19"/>
      <c r="L40" s="6"/>
      <c r="M40" s="19"/>
      <c r="N40" s="19"/>
    </row>
    <row r="41" spans="2:43" s="5" customFormat="1" x14ac:dyDescent="0.55000000000000004">
      <c r="B41" s="8"/>
      <c r="H41" s="19"/>
      <c r="I41" s="19"/>
      <c r="J41" s="19"/>
      <c r="K41" s="19"/>
      <c r="L41" s="6"/>
      <c r="M41" s="19"/>
      <c r="N41" s="19"/>
    </row>
    <row r="42" spans="2:43" x14ac:dyDescent="0.55000000000000004">
      <c r="B42" s="8"/>
      <c r="C42" s="5"/>
      <c r="D42" s="5"/>
      <c r="E42" s="5"/>
      <c r="H42" s="19"/>
    </row>
    <row r="43" spans="2:43" x14ac:dyDescent="0.55000000000000004">
      <c r="B43" s="8"/>
      <c r="C43" s="5"/>
      <c r="D43" s="5"/>
      <c r="E43" s="5"/>
    </row>
    <row r="45" spans="2:43" s="5" customFormat="1" x14ac:dyDescent="0.55000000000000004">
      <c r="H45" s="19"/>
      <c r="I45" s="19"/>
      <c r="J45" s="19"/>
      <c r="K45" s="19"/>
      <c r="L45" s="19"/>
      <c r="M45" s="19"/>
      <c r="N45" s="19"/>
    </row>
    <row r="46" spans="2:43" s="5" customFormat="1" x14ac:dyDescent="0.55000000000000004">
      <c r="B46" s="8"/>
      <c r="H46" s="19"/>
      <c r="I46" s="19"/>
      <c r="J46" s="19"/>
      <c r="K46" s="19"/>
      <c r="L46" s="19"/>
      <c r="M46" s="19"/>
      <c r="N46" s="19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2:43" s="5" customFormat="1" x14ac:dyDescent="0.55000000000000004">
      <c r="B47" s="8"/>
      <c r="H47" s="19"/>
      <c r="I47" s="19"/>
      <c r="J47" s="19"/>
      <c r="K47" s="19"/>
      <c r="L47" s="19"/>
      <c r="M47" s="19"/>
      <c r="N47" s="19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2:43" s="5" customFormat="1" x14ac:dyDescent="0.55000000000000004">
      <c r="B48" s="8"/>
      <c r="H48" s="19"/>
      <c r="I48" s="19"/>
      <c r="J48" s="19"/>
      <c r="K48" s="19"/>
      <c r="L48" s="19"/>
      <c r="M48" s="19"/>
      <c r="N48" s="19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2:43" s="5" customFormat="1" x14ac:dyDescent="0.55000000000000004">
      <c r="B49" s="8"/>
      <c r="H49" s="19"/>
      <c r="I49" s="19"/>
      <c r="J49" s="19"/>
      <c r="K49" s="1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2:43" s="5" customFormat="1" x14ac:dyDescent="0.55000000000000004">
      <c r="B50" s="8"/>
      <c r="H50" s="19"/>
      <c r="I50" s="19"/>
      <c r="J50" s="19"/>
      <c r="K50" s="19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2:43" s="5" customFormat="1" x14ac:dyDescent="0.55000000000000004">
      <c r="B51" s="8"/>
      <c r="H51" s="19"/>
      <c r="I51" s="19"/>
      <c r="J51" s="19"/>
      <c r="K51" s="19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2:43" s="5" customFormat="1" x14ac:dyDescent="0.55000000000000004">
      <c r="B52" s="8"/>
      <c r="H52" s="19"/>
      <c r="I52" s="19"/>
      <c r="J52" s="19"/>
      <c r="K52" s="19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2:43" s="5" customFormat="1" x14ac:dyDescent="0.55000000000000004">
      <c r="B53" s="8"/>
      <c r="H53" s="19"/>
      <c r="I53" s="19"/>
      <c r="J53" s="19"/>
      <c r="K53" s="19"/>
      <c r="AD53" s="1"/>
      <c r="AE53" s="2"/>
      <c r="AF53" s="2"/>
      <c r="AG53"/>
      <c r="AH53"/>
      <c r="AI53"/>
      <c r="AJ53"/>
      <c r="AK53"/>
      <c r="AL53"/>
      <c r="AM53"/>
      <c r="AN53"/>
      <c r="AO53"/>
      <c r="AP53"/>
      <c r="AQ53"/>
    </row>
    <row r="54" spans="2:43" s="5" customFormat="1" x14ac:dyDescent="0.55000000000000004">
      <c r="B54" s="8"/>
      <c r="H54" s="19"/>
      <c r="I54" s="19"/>
      <c r="J54" s="19"/>
      <c r="K54" s="19"/>
      <c r="AD54" s="1"/>
      <c r="AE54" s="2"/>
      <c r="AF54" s="2"/>
      <c r="AG54"/>
      <c r="AH54"/>
      <c r="AI54"/>
      <c r="AJ54"/>
      <c r="AK54"/>
      <c r="AL54"/>
      <c r="AM54"/>
      <c r="AN54"/>
      <c r="AO54"/>
      <c r="AP54"/>
      <c r="AQ54"/>
    </row>
    <row r="55" spans="2:43" s="5" customFormat="1" x14ac:dyDescent="0.55000000000000004">
      <c r="B55" s="8"/>
      <c r="H55" s="19"/>
      <c r="I55" s="19"/>
      <c r="J55" s="19"/>
      <c r="K55" s="19"/>
      <c r="AD55" s="1"/>
      <c r="AE55" s="3"/>
      <c r="AF55" s="3"/>
      <c r="AG55"/>
      <c r="AH55" s="4"/>
      <c r="AI55" s="4"/>
      <c r="AJ55" s="1"/>
      <c r="AK55" s="1"/>
      <c r="AL55"/>
      <c r="AM55"/>
      <c r="AN55"/>
      <c r="AO55"/>
      <c r="AP55"/>
      <c r="AQ55"/>
    </row>
    <row r="56" spans="2:43" s="5" customFormat="1" x14ac:dyDescent="0.55000000000000004">
      <c r="B56" s="8"/>
      <c r="H56" s="19"/>
      <c r="I56" s="19"/>
      <c r="J56" s="19"/>
      <c r="K56" s="19"/>
      <c r="AD56" s="1"/>
      <c r="AE56" s="3"/>
      <c r="AF56" s="3"/>
      <c r="AG56"/>
      <c r="AH56" s="4"/>
      <c r="AI56" s="4"/>
      <c r="AJ56" s="1"/>
      <c r="AK56" s="1"/>
      <c r="AL56"/>
      <c r="AM56"/>
      <c r="AN56"/>
      <c r="AO56"/>
      <c r="AP56"/>
      <c r="AQ56"/>
    </row>
    <row r="57" spans="2:43" s="5" customFormat="1" x14ac:dyDescent="0.55000000000000004">
      <c r="B57" s="8"/>
      <c r="H57" s="19"/>
      <c r="I57" s="19"/>
      <c r="J57" s="19"/>
      <c r="K57" s="19"/>
      <c r="AD57" s="1"/>
      <c r="AE57" s="3"/>
      <c r="AF57" s="3"/>
      <c r="AG57"/>
      <c r="AH57" s="4"/>
      <c r="AI57" s="4"/>
      <c r="AJ57" s="1"/>
      <c r="AK57" s="1"/>
      <c r="AL57"/>
      <c r="AM57"/>
      <c r="AN57"/>
      <c r="AO57"/>
      <c r="AP57"/>
      <c r="AQ57"/>
    </row>
    <row r="58" spans="2:43" s="5" customFormat="1" x14ac:dyDescent="0.55000000000000004">
      <c r="B58" s="8"/>
      <c r="H58" s="19"/>
      <c r="I58" s="19"/>
      <c r="J58" s="19"/>
      <c r="K58" s="19"/>
      <c r="AD58" s="1"/>
      <c r="AE58" s="3"/>
      <c r="AF58" s="3"/>
      <c r="AG58"/>
      <c r="AH58" s="4"/>
      <c r="AI58" s="4"/>
      <c r="AJ58" s="1"/>
      <c r="AK58" s="1"/>
      <c r="AL58"/>
      <c r="AM58"/>
      <c r="AN58"/>
      <c r="AO58"/>
      <c r="AP58"/>
      <c r="AQ58"/>
    </row>
    <row r="59" spans="2:43" s="5" customFormat="1" x14ac:dyDescent="0.55000000000000004">
      <c r="B59" s="8"/>
      <c r="H59" s="19"/>
      <c r="I59" s="19"/>
      <c r="J59" s="19"/>
      <c r="K59" s="19"/>
      <c r="AD59" s="1"/>
      <c r="AE59" s="3"/>
      <c r="AF59" s="3"/>
      <c r="AG59"/>
      <c r="AH59" s="4"/>
      <c r="AI59" s="4"/>
      <c r="AJ59" s="1"/>
      <c r="AK59" s="1"/>
      <c r="AL59"/>
      <c r="AM59"/>
      <c r="AN59"/>
      <c r="AO59"/>
      <c r="AP59"/>
      <c r="AQ59"/>
    </row>
    <row r="60" spans="2:43" s="5" customFormat="1" x14ac:dyDescent="0.55000000000000004">
      <c r="B60" s="8"/>
      <c r="H60" s="19"/>
      <c r="I60" s="19"/>
      <c r="J60" s="19"/>
      <c r="K60" s="19"/>
      <c r="AD60" s="1"/>
      <c r="AE60" s="3"/>
      <c r="AF60" s="3"/>
      <c r="AG60"/>
      <c r="AH60" s="4"/>
      <c r="AI60" s="4"/>
      <c r="AJ60" s="1"/>
      <c r="AK60" s="1"/>
      <c r="AL60"/>
      <c r="AM60"/>
      <c r="AN60"/>
      <c r="AO60"/>
      <c r="AP60"/>
      <c r="AQ60"/>
    </row>
    <row r="61" spans="2:43" s="5" customFormat="1" x14ac:dyDescent="0.55000000000000004">
      <c r="B61" s="8"/>
      <c r="H61" s="19"/>
      <c r="I61" s="19"/>
      <c r="J61" s="19"/>
      <c r="K61" s="19"/>
      <c r="AD61" s="1"/>
      <c r="AE61" s="2"/>
      <c r="AF61" s="2"/>
      <c r="AG61"/>
      <c r="AH61"/>
      <c r="AI61"/>
      <c r="AJ61"/>
      <c r="AK61"/>
      <c r="AL61"/>
      <c r="AM61"/>
      <c r="AN61"/>
      <c r="AO61"/>
      <c r="AP61"/>
      <c r="AQ61"/>
    </row>
    <row r="62" spans="2:43" s="5" customFormat="1" x14ac:dyDescent="0.55000000000000004">
      <c r="B62" s="8"/>
      <c r="H62" s="19"/>
      <c r="I62" s="19"/>
      <c r="J62" s="19"/>
      <c r="K62" s="19"/>
      <c r="AD62" s="1"/>
      <c r="AE62" s="2"/>
      <c r="AF62" s="2"/>
      <c r="AG62"/>
      <c r="AH62"/>
      <c r="AI62"/>
      <c r="AJ62"/>
      <c r="AK62"/>
      <c r="AL62"/>
      <c r="AM62"/>
      <c r="AN62"/>
      <c r="AO62"/>
      <c r="AP62"/>
      <c r="AQ62"/>
    </row>
    <row r="63" spans="2:43" x14ac:dyDescent="0.55000000000000004">
      <c r="L63"/>
      <c r="M63"/>
      <c r="N63"/>
    </row>
    <row r="64" spans="2:43" x14ac:dyDescent="0.55000000000000004">
      <c r="L64"/>
      <c r="M64"/>
      <c r="N64"/>
    </row>
    <row r="65" spans="12:14" x14ac:dyDescent="0.55000000000000004">
      <c r="L65"/>
      <c r="M65"/>
      <c r="N65"/>
    </row>
  </sheetData>
  <mergeCells count="4">
    <mergeCell ref="F2:J2"/>
    <mergeCell ref="F4:F5"/>
    <mergeCell ref="G4:G5"/>
    <mergeCell ref="M3:N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21E2-3ACB-4790-9BA5-8F1AA19F0937}">
  <dimension ref="A1:AO57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28.734375" bestFit="1" customWidth="1"/>
    <col min="8" max="8" width="12.734375" style="7" customWidth="1"/>
    <col min="9" max="9" width="16.05078125" style="7" customWidth="1"/>
    <col min="10" max="10" width="8.41796875" style="7" customWidth="1"/>
    <col min="11" max="11" width="8.734375" style="7" customWidth="1"/>
    <col min="12" max="12" width="12.68359375" style="7" customWidth="1"/>
    <col min="16" max="16" width="18" customWidth="1"/>
    <col min="17" max="18" width="15.734375" customWidth="1"/>
    <col min="19" max="19" width="14.7890625" customWidth="1"/>
  </cols>
  <sheetData>
    <row r="1" spans="1:12" s="5" customFormat="1" x14ac:dyDescent="0.55000000000000004">
      <c r="A1" s="5" t="s">
        <v>217</v>
      </c>
      <c r="H1" s="19"/>
      <c r="I1" s="19"/>
      <c r="J1" s="19"/>
      <c r="K1" s="19"/>
      <c r="L1" s="19"/>
    </row>
    <row r="2" spans="1:12" s="5" customFormat="1" x14ac:dyDescent="0.55000000000000004">
      <c r="B2" s="8"/>
      <c r="F2" s="36" t="s">
        <v>155</v>
      </c>
      <c r="G2" s="36"/>
      <c r="H2" s="36"/>
      <c r="I2" s="36"/>
      <c r="J2" s="36"/>
      <c r="K2" s="19"/>
      <c r="L2" s="19"/>
    </row>
    <row r="3" spans="1:12" s="5" customFormat="1" x14ac:dyDescent="0.55000000000000004">
      <c r="B3" s="8" t="s">
        <v>0</v>
      </c>
      <c r="C3" s="5" t="s">
        <v>213</v>
      </c>
      <c r="F3" s="16"/>
      <c r="G3" s="22"/>
      <c r="H3" s="22"/>
      <c r="I3" s="22"/>
      <c r="J3" s="22"/>
      <c r="L3" s="19"/>
    </row>
    <row r="4" spans="1:12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  <c r="L4" s="19"/>
    </row>
    <row r="5" spans="1:12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  <c r="L5" s="19"/>
    </row>
    <row r="6" spans="1:12" s="5" customFormat="1" x14ac:dyDescent="0.55000000000000004">
      <c r="B6" s="8" t="s">
        <v>2</v>
      </c>
      <c r="C6" s="5">
        <v>1</v>
      </c>
      <c r="F6" t="s">
        <v>156</v>
      </c>
      <c r="G6" s="24">
        <v>1</v>
      </c>
      <c r="H6">
        <v>5</v>
      </c>
      <c r="I6">
        <v>0.12</v>
      </c>
      <c r="J6" s="33">
        <v>13.704179306529312</v>
      </c>
      <c r="K6" s="5">
        <f>(J6*(H6+I6)/I6)/39.098</f>
        <v>14.955027121896705</v>
      </c>
      <c r="L6" s="19"/>
    </row>
    <row r="7" spans="1:12" s="5" customFormat="1" x14ac:dyDescent="0.55000000000000004">
      <c r="B7" s="8" t="s">
        <v>3</v>
      </c>
      <c r="C7" s="5" t="s">
        <v>26</v>
      </c>
      <c r="F7" t="s">
        <v>157</v>
      </c>
      <c r="G7" s="25">
        <v>2</v>
      </c>
      <c r="H7">
        <v>5</v>
      </c>
      <c r="I7">
        <v>1.2E-2</v>
      </c>
      <c r="J7" s="34">
        <v>11.052997362393585</v>
      </c>
      <c r="K7" s="5">
        <f t="shared" ref="K7:K19" si="0">(J7*(H7+I7)/I7)/39.098</f>
        <v>118.07428935051377</v>
      </c>
      <c r="L7" s="19"/>
    </row>
    <row r="8" spans="1:12" s="5" customFormat="1" x14ac:dyDescent="0.55000000000000004">
      <c r="B8" s="8" t="s">
        <v>4</v>
      </c>
      <c r="C8" s="5">
        <v>15</v>
      </c>
      <c r="D8" s="5" t="s">
        <v>5</v>
      </c>
      <c r="F8" t="s">
        <v>158</v>
      </c>
      <c r="G8" s="24">
        <v>3</v>
      </c>
      <c r="H8">
        <v>5</v>
      </c>
      <c r="I8">
        <v>1.2E-2</v>
      </c>
      <c r="J8" s="33">
        <v>6.6044525929496354</v>
      </c>
      <c r="K8" s="5">
        <f t="shared" si="0"/>
        <v>70.552450244393512</v>
      </c>
      <c r="L8" s="19"/>
    </row>
    <row r="9" spans="1:12" s="5" customFormat="1" x14ac:dyDescent="0.55000000000000004">
      <c r="B9" s="8" t="s">
        <v>6</v>
      </c>
      <c r="C9" s="5">
        <v>120</v>
      </c>
      <c r="D9" s="5" t="s">
        <v>5</v>
      </c>
      <c r="F9" t="s">
        <v>159</v>
      </c>
      <c r="G9" s="25">
        <v>4</v>
      </c>
      <c r="H9">
        <v>5</v>
      </c>
      <c r="I9">
        <v>1.2E-2</v>
      </c>
      <c r="J9" s="34">
        <v>8.6258965678741522</v>
      </c>
      <c r="K9" s="5">
        <f>(J9*(H9+I9)/I9)/39.098</f>
        <v>92.146643473206751</v>
      </c>
      <c r="L9" s="19"/>
    </row>
    <row r="10" spans="1:12" s="5" customFormat="1" x14ac:dyDescent="0.55000000000000004">
      <c r="B10" s="8"/>
      <c r="F10" t="s">
        <v>160</v>
      </c>
      <c r="G10" s="24">
        <v>5</v>
      </c>
      <c r="H10">
        <v>5</v>
      </c>
      <c r="I10">
        <v>2.5000000000000001E-2</v>
      </c>
      <c r="J10" s="33">
        <v>4.5209429779399182</v>
      </c>
      <c r="K10" s="5">
        <f t="shared" si="0"/>
        <v>23.241842001276883</v>
      </c>
      <c r="L10" s="19"/>
    </row>
    <row r="11" spans="1:12" s="5" customFormat="1" x14ac:dyDescent="0.55000000000000004">
      <c r="B11" s="8" t="s">
        <v>8</v>
      </c>
      <c r="C11" s="5">
        <v>32.49</v>
      </c>
      <c r="D11" s="5" t="s">
        <v>9</v>
      </c>
      <c r="F11" t="s">
        <v>161</v>
      </c>
      <c r="G11" s="25">
        <v>6</v>
      </c>
      <c r="H11">
        <v>5</v>
      </c>
      <c r="I11">
        <v>2.5000000000000001E-2</v>
      </c>
      <c r="J11" s="34">
        <v>6.5473564276047815</v>
      </c>
      <c r="K11" s="5">
        <f t="shared" si="0"/>
        <v>33.659487491650751</v>
      </c>
      <c r="L11" s="19"/>
    </row>
    <row r="12" spans="1:12" s="5" customFormat="1" x14ac:dyDescent="0.55000000000000004">
      <c r="B12" s="8" t="s">
        <v>10</v>
      </c>
      <c r="C12" s="5">
        <v>42.8</v>
      </c>
      <c r="D12" s="5" t="s">
        <v>9</v>
      </c>
      <c r="F12" t="s">
        <v>162</v>
      </c>
      <c r="G12" s="24">
        <v>7</v>
      </c>
      <c r="H12">
        <v>5</v>
      </c>
      <c r="I12">
        <v>2.5000000000000001E-2</v>
      </c>
      <c r="J12" s="33">
        <v>7.6120704952064662</v>
      </c>
      <c r="K12" s="5">
        <f t="shared" si="0"/>
        <v>39.13310577360734</v>
      </c>
      <c r="L12" s="19"/>
    </row>
    <row r="13" spans="1:12" s="5" customFormat="1" x14ac:dyDescent="0.55000000000000004">
      <c r="B13" s="8" t="s">
        <v>11</v>
      </c>
      <c r="C13" s="5">
        <v>45.01</v>
      </c>
      <c r="D13" s="5" t="s">
        <v>9</v>
      </c>
      <c r="F13" t="s">
        <v>163</v>
      </c>
      <c r="G13" s="25">
        <v>8</v>
      </c>
      <c r="H13">
        <v>5</v>
      </c>
      <c r="I13">
        <v>2.5000000000000001E-2</v>
      </c>
      <c r="J13" s="34">
        <v>8.5896882879344112</v>
      </c>
      <c r="K13" s="5">
        <f t="shared" si="0"/>
        <v>44.158968383927999</v>
      </c>
      <c r="L13" s="19"/>
    </row>
    <row r="14" spans="1:12" s="5" customFormat="1" x14ac:dyDescent="0.55000000000000004">
      <c r="B14" s="8"/>
      <c r="F14" t="s">
        <v>164</v>
      </c>
      <c r="G14" s="24">
        <v>9</v>
      </c>
      <c r="H14">
        <v>5</v>
      </c>
      <c r="I14">
        <v>2.5000000000000001E-2</v>
      </c>
      <c r="J14" s="33">
        <v>9.3747305167998594</v>
      </c>
      <c r="K14" s="5">
        <f t="shared" si="0"/>
        <v>48.194813900372701</v>
      </c>
      <c r="L14" s="19"/>
    </row>
    <row r="15" spans="1:12" s="5" customFormat="1" x14ac:dyDescent="0.55000000000000004">
      <c r="B15" s="8" t="s">
        <v>12</v>
      </c>
      <c r="C15" s="5">
        <v>7.7039999999999997</v>
      </c>
      <c r="D15" s="5" t="s">
        <v>13</v>
      </c>
      <c r="F15" t="s">
        <v>165</v>
      </c>
      <c r="G15" s="25">
        <v>10</v>
      </c>
      <c r="H15">
        <v>5</v>
      </c>
      <c r="I15">
        <v>2.5000000000000001E-2</v>
      </c>
      <c r="J15" s="34">
        <v>10.389459047599489</v>
      </c>
      <c r="K15" s="5">
        <f t="shared" si="0"/>
        <v>53.411460140352375</v>
      </c>
      <c r="L15" s="19"/>
    </row>
    <row r="16" spans="1:12" s="5" customFormat="1" x14ac:dyDescent="0.55000000000000004">
      <c r="B16" s="8" t="s">
        <v>14</v>
      </c>
      <c r="C16" s="5">
        <v>59.301000000000002</v>
      </c>
      <c r="D16" s="5" t="s">
        <v>13</v>
      </c>
      <c r="F16" t="s">
        <v>166</v>
      </c>
      <c r="G16" s="24">
        <v>11</v>
      </c>
      <c r="H16">
        <v>5</v>
      </c>
      <c r="I16">
        <v>2.5000000000000001E-2</v>
      </c>
      <c r="J16" s="33">
        <v>11.228837479834416</v>
      </c>
      <c r="K16" s="5">
        <f t="shared" si="0"/>
        <v>57.726644162021522</v>
      </c>
      <c r="L16" s="19"/>
    </row>
    <row r="17" spans="2:18" s="5" customFormat="1" x14ac:dyDescent="0.55000000000000004">
      <c r="B17" s="8"/>
      <c r="F17" t="s">
        <v>167</v>
      </c>
      <c r="G17" s="25">
        <v>12</v>
      </c>
      <c r="H17">
        <v>5</v>
      </c>
      <c r="I17">
        <v>2.5000000000000001E-2</v>
      </c>
      <c r="J17" s="34">
        <v>12.35290028506895</v>
      </c>
      <c r="K17" s="5">
        <f t="shared" si="0"/>
        <v>63.505370026570645</v>
      </c>
      <c r="L17" s="19"/>
    </row>
    <row r="18" spans="2:18" s="5" customFormat="1" ht="13.9" customHeight="1" x14ac:dyDescent="0.55000000000000004">
      <c r="B18" s="21" t="s">
        <v>19</v>
      </c>
      <c r="C18" s="16">
        <v>2.72</v>
      </c>
      <c r="D18" s="9" t="s">
        <v>9</v>
      </c>
      <c r="F18" t="s">
        <v>168</v>
      </c>
      <c r="G18" s="24">
        <v>13</v>
      </c>
      <c r="H18">
        <v>5</v>
      </c>
      <c r="I18">
        <v>2.5000000000000001E-2</v>
      </c>
      <c r="J18" s="33">
        <v>13.017209978725989</v>
      </c>
      <c r="K18" s="5">
        <f t="shared" si="0"/>
        <v>66.92053828134236</v>
      </c>
      <c r="L18" s="19"/>
    </row>
    <row r="19" spans="2:18" s="12" customFormat="1" ht="13.9" customHeight="1" x14ac:dyDescent="0.55000000000000004">
      <c r="B19" s="21" t="s">
        <v>20</v>
      </c>
      <c r="C19" s="16">
        <v>3.51</v>
      </c>
      <c r="D19" s="9" t="s">
        <v>9</v>
      </c>
      <c r="F19" t="s">
        <v>169</v>
      </c>
      <c r="G19" s="25">
        <v>14</v>
      </c>
      <c r="H19">
        <v>5</v>
      </c>
      <c r="I19">
        <v>2.5000000000000001E-2</v>
      </c>
      <c r="J19" s="34">
        <v>13.957894517625766</v>
      </c>
      <c r="K19" s="5">
        <f t="shared" si="0"/>
        <v>71.756529695707684</v>
      </c>
    </row>
    <row r="20" spans="2:18" s="5" customFormat="1" ht="13.9" customHeight="1" x14ac:dyDescent="0.55000000000000004">
      <c r="L20" s="19"/>
      <c r="M20" s="19"/>
      <c r="N20" s="19"/>
      <c r="O20" s="19"/>
      <c r="Q20" s="19"/>
      <c r="R20" s="19"/>
    </row>
    <row r="21" spans="2:18" s="5" customFormat="1" ht="13.9" customHeight="1" x14ac:dyDescent="0.55000000000000004">
      <c r="L21" s="19"/>
      <c r="M21" s="9"/>
      <c r="N21" s="19"/>
      <c r="O21" s="19"/>
      <c r="P21" s="10"/>
      <c r="Q21" s="14"/>
      <c r="R21" s="10"/>
    </row>
    <row r="22" spans="2:18" s="5" customFormat="1" x14ac:dyDescent="0.55000000000000004">
      <c r="H22" s="19"/>
      <c r="L22" s="19"/>
      <c r="M22" s="9"/>
      <c r="N22" s="19"/>
      <c r="O22" s="19"/>
      <c r="P22" s="10"/>
      <c r="Q22" s="14"/>
      <c r="R22" s="10"/>
    </row>
    <row r="23" spans="2:18" s="5" customFormat="1" x14ac:dyDescent="0.55000000000000004">
      <c r="H23" s="19"/>
      <c r="L23" s="19"/>
      <c r="M23" s="9"/>
      <c r="N23" s="19"/>
      <c r="O23" s="19"/>
      <c r="P23" s="10"/>
      <c r="Q23" s="14"/>
      <c r="R23" s="10"/>
    </row>
    <row r="24" spans="2:18" s="5" customFormat="1" x14ac:dyDescent="0.55000000000000004">
      <c r="H24" s="19"/>
      <c r="L24" s="19"/>
      <c r="M24" s="9"/>
      <c r="N24" s="19"/>
      <c r="O24" s="19"/>
      <c r="P24" s="10"/>
      <c r="Q24" s="14"/>
      <c r="R24" s="10"/>
    </row>
    <row r="25" spans="2:18" s="5" customFormat="1" x14ac:dyDescent="0.55000000000000004">
      <c r="H25" s="19"/>
      <c r="L25" s="19"/>
      <c r="M25" s="9"/>
      <c r="N25" s="19"/>
      <c r="O25" s="19"/>
      <c r="P25" s="10"/>
      <c r="Q25" s="14"/>
      <c r="R25" s="10"/>
    </row>
    <row r="26" spans="2:18" s="5" customFormat="1" x14ac:dyDescent="0.55000000000000004">
      <c r="H26" s="19"/>
      <c r="L26" s="19"/>
      <c r="M26" s="9"/>
      <c r="N26" s="19"/>
      <c r="O26" s="19"/>
      <c r="P26" s="10"/>
      <c r="Q26" s="14"/>
      <c r="R26" s="10"/>
    </row>
    <row r="27" spans="2:18" s="5" customFormat="1" x14ac:dyDescent="0.55000000000000004">
      <c r="B27" s="16"/>
      <c r="C27" s="19"/>
      <c r="D27" s="19"/>
      <c r="E27" s="15"/>
      <c r="F27" s="17"/>
      <c r="H27" s="19"/>
      <c r="I27" s="9"/>
      <c r="J27" s="19"/>
      <c r="K27" s="19"/>
      <c r="L27" s="19"/>
      <c r="M27" s="9"/>
      <c r="N27" s="19"/>
      <c r="O27" s="19"/>
      <c r="P27" s="10"/>
      <c r="Q27" s="14"/>
      <c r="R27" s="10"/>
    </row>
    <row r="28" spans="2:18" s="5" customFormat="1" x14ac:dyDescent="0.55000000000000004">
      <c r="B28" s="16"/>
      <c r="C28" s="19"/>
      <c r="D28" s="19"/>
      <c r="E28" s="15"/>
      <c r="F28" s="17"/>
      <c r="H28" s="19"/>
      <c r="I28" s="11"/>
    </row>
    <row r="29" spans="2:18" s="5" customFormat="1" x14ac:dyDescent="0.55000000000000004">
      <c r="B29" s="16"/>
      <c r="C29" s="19"/>
      <c r="D29" s="19"/>
      <c r="E29" s="15"/>
      <c r="F29" s="17"/>
      <c r="H29" s="19"/>
      <c r="I29" s="9"/>
      <c r="J29" s="19"/>
      <c r="K29" s="19"/>
      <c r="L29" s="11"/>
    </row>
    <row r="30" spans="2:18" s="5" customFormat="1" x14ac:dyDescent="0.55000000000000004">
      <c r="B30" s="16"/>
      <c r="C30" s="19"/>
      <c r="D30" s="19"/>
      <c r="E30" s="15"/>
      <c r="F30" s="17"/>
      <c r="I30" s="9"/>
      <c r="J30" s="19"/>
      <c r="K30" s="19"/>
      <c r="L30" s="11"/>
    </row>
    <row r="31" spans="2:18" s="5" customFormat="1" x14ac:dyDescent="0.55000000000000004">
      <c r="B31" s="19"/>
      <c r="C31" s="19"/>
      <c r="D31" s="19"/>
      <c r="E31" s="19"/>
      <c r="F31" s="15"/>
      <c r="I31" s="9"/>
      <c r="J31" s="19"/>
      <c r="K31" s="19"/>
      <c r="L31" s="11"/>
    </row>
    <row r="32" spans="2:18" s="5" customFormat="1" x14ac:dyDescent="0.55000000000000004">
      <c r="C32" s="8"/>
      <c r="E32" s="8"/>
      <c r="F32" s="18"/>
      <c r="H32" s="19"/>
      <c r="I32" s="19"/>
      <c r="J32" s="19"/>
      <c r="K32" s="19"/>
      <c r="L32" s="19"/>
    </row>
    <row r="33" spans="2:41" s="5" customFormat="1" x14ac:dyDescent="0.55000000000000004">
      <c r="B33" s="8"/>
      <c r="H33" s="19"/>
      <c r="I33" s="19"/>
      <c r="J33" s="19"/>
      <c r="K33" s="19"/>
      <c r="L33" s="19"/>
    </row>
    <row r="34" spans="2:41" x14ac:dyDescent="0.55000000000000004">
      <c r="B34" s="8"/>
      <c r="C34" s="5"/>
      <c r="D34" s="5"/>
      <c r="E34" s="5"/>
      <c r="H34" s="19"/>
    </row>
    <row r="35" spans="2:41" x14ac:dyDescent="0.55000000000000004">
      <c r="B35" s="8"/>
      <c r="C35" s="5"/>
      <c r="D35" s="5"/>
      <c r="E35" s="5"/>
    </row>
    <row r="37" spans="2:41" s="5" customFormat="1" x14ac:dyDescent="0.55000000000000004">
      <c r="H37" s="19"/>
      <c r="I37" s="19"/>
      <c r="J37" s="19"/>
      <c r="K37" s="19"/>
      <c r="L37" s="19"/>
    </row>
    <row r="38" spans="2:41" s="5" customFormat="1" x14ac:dyDescent="0.55000000000000004">
      <c r="B38" s="8"/>
      <c r="H38" s="19"/>
      <c r="I38" s="19"/>
      <c r="J38" s="19"/>
      <c r="K38" s="19"/>
      <c r="L38" s="19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2:41" s="5" customFormat="1" x14ac:dyDescent="0.55000000000000004">
      <c r="B39" s="8"/>
      <c r="H39" s="19"/>
      <c r="I39" s="19"/>
      <c r="J39" s="19"/>
      <c r="K39" s="19"/>
      <c r="L39" s="1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2:41" s="5" customFormat="1" x14ac:dyDescent="0.55000000000000004">
      <c r="B40" s="8"/>
      <c r="H40" s="19"/>
      <c r="I40" s="19"/>
      <c r="J40" s="19"/>
      <c r="K40" s="19"/>
      <c r="L40" s="19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</row>
    <row r="41" spans="2:41" s="5" customFormat="1" x14ac:dyDescent="0.55000000000000004">
      <c r="B41" s="8"/>
      <c r="H41" s="19"/>
      <c r="I41" s="19"/>
      <c r="J41" s="19"/>
      <c r="K41" s="19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2:41" s="5" customFormat="1" x14ac:dyDescent="0.55000000000000004">
      <c r="B42" s="8"/>
      <c r="H42" s="19"/>
      <c r="I42" s="19"/>
      <c r="J42" s="19"/>
      <c r="K42" s="19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</row>
    <row r="43" spans="2:41" s="5" customFormat="1" x14ac:dyDescent="0.55000000000000004">
      <c r="B43" s="8"/>
      <c r="H43" s="19"/>
      <c r="I43" s="19"/>
      <c r="J43" s="19"/>
      <c r="K43" s="19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</row>
    <row r="44" spans="2:41" s="5" customFormat="1" x14ac:dyDescent="0.55000000000000004">
      <c r="B44" s="8"/>
      <c r="H44" s="19"/>
      <c r="I44" s="19"/>
      <c r="J44" s="19"/>
      <c r="K44" s="19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</row>
    <row r="45" spans="2:41" s="5" customFormat="1" x14ac:dyDescent="0.55000000000000004">
      <c r="B45" s="8"/>
      <c r="H45" s="19"/>
      <c r="I45" s="19"/>
      <c r="J45" s="19"/>
      <c r="K45" s="19"/>
      <c r="AB45" s="1"/>
      <c r="AC45" s="2"/>
      <c r="AD45" s="2"/>
      <c r="AE45"/>
      <c r="AF45"/>
      <c r="AG45"/>
      <c r="AH45"/>
      <c r="AI45"/>
      <c r="AJ45"/>
      <c r="AK45"/>
      <c r="AL45"/>
      <c r="AM45"/>
      <c r="AN45"/>
      <c r="AO45"/>
    </row>
    <row r="46" spans="2:41" s="5" customFormat="1" x14ac:dyDescent="0.55000000000000004">
      <c r="B46" s="8"/>
      <c r="H46" s="19"/>
      <c r="I46" s="19"/>
      <c r="J46" s="19"/>
      <c r="K46" s="19"/>
      <c r="AB46" s="1"/>
      <c r="AC46" s="2"/>
      <c r="AD46" s="2"/>
      <c r="AE46"/>
      <c r="AF46"/>
      <c r="AG46"/>
      <c r="AH46"/>
      <c r="AI46"/>
      <c r="AJ46"/>
      <c r="AK46"/>
      <c r="AL46"/>
      <c r="AM46"/>
      <c r="AN46"/>
      <c r="AO46"/>
    </row>
    <row r="47" spans="2:41" s="5" customFormat="1" x14ac:dyDescent="0.55000000000000004">
      <c r="B47" s="8"/>
      <c r="H47" s="19"/>
      <c r="I47" s="19"/>
      <c r="J47" s="19"/>
      <c r="K47" s="19"/>
      <c r="AB47" s="1"/>
      <c r="AC47" s="3"/>
      <c r="AD47" s="3"/>
      <c r="AE47"/>
      <c r="AF47" s="4"/>
      <c r="AG47" s="4"/>
      <c r="AH47" s="1"/>
      <c r="AI47" s="1"/>
      <c r="AJ47"/>
      <c r="AK47"/>
      <c r="AL47"/>
      <c r="AM47"/>
      <c r="AN47"/>
      <c r="AO47"/>
    </row>
    <row r="48" spans="2:41" s="5" customFormat="1" x14ac:dyDescent="0.55000000000000004">
      <c r="B48" s="8"/>
      <c r="H48" s="19"/>
      <c r="I48" s="19"/>
      <c r="J48" s="19"/>
      <c r="K48" s="19"/>
      <c r="AB48" s="1"/>
      <c r="AC48" s="3"/>
      <c r="AD48" s="3"/>
      <c r="AE48"/>
      <c r="AF48" s="4"/>
      <c r="AG48" s="4"/>
      <c r="AH48" s="1"/>
      <c r="AI48" s="1"/>
      <c r="AJ48"/>
      <c r="AK48"/>
      <c r="AL48"/>
      <c r="AM48"/>
      <c r="AN48"/>
      <c r="AO48"/>
    </row>
    <row r="49" spans="2:41" s="5" customFormat="1" x14ac:dyDescent="0.55000000000000004">
      <c r="B49" s="8"/>
      <c r="H49" s="19"/>
      <c r="I49" s="19"/>
      <c r="J49" s="19"/>
      <c r="K49" s="19"/>
      <c r="AB49" s="1"/>
      <c r="AC49" s="3"/>
      <c r="AD49" s="3"/>
      <c r="AE49"/>
      <c r="AF49" s="4"/>
      <c r="AG49" s="4"/>
      <c r="AH49" s="1"/>
      <c r="AI49" s="1"/>
      <c r="AJ49"/>
      <c r="AK49"/>
      <c r="AL49"/>
      <c r="AM49"/>
      <c r="AN49"/>
      <c r="AO49"/>
    </row>
    <row r="50" spans="2:41" s="5" customFormat="1" x14ac:dyDescent="0.55000000000000004">
      <c r="B50" s="8"/>
      <c r="H50" s="19"/>
      <c r="I50" s="19"/>
      <c r="J50" s="19"/>
      <c r="K50" s="19"/>
      <c r="AB50" s="1"/>
      <c r="AC50" s="3"/>
      <c r="AD50" s="3"/>
      <c r="AE50"/>
      <c r="AF50" s="4"/>
      <c r="AG50" s="4"/>
      <c r="AH50" s="1"/>
      <c r="AI50" s="1"/>
      <c r="AJ50"/>
      <c r="AK50"/>
      <c r="AL50"/>
      <c r="AM50"/>
      <c r="AN50"/>
      <c r="AO50"/>
    </row>
    <row r="51" spans="2:41" s="5" customFormat="1" x14ac:dyDescent="0.55000000000000004">
      <c r="B51" s="8"/>
      <c r="H51" s="19"/>
      <c r="I51" s="19"/>
      <c r="J51" s="19"/>
      <c r="K51" s="19"/>
      <c r="AB51" s="1"/>
      <c r="AC51" s="3"/>
      <c r="AD51" s="3"/>
      <c r="AE51"/>
      <c r="AF51" s="4"/>
      <c r="AG51" s="4"/>
      <c r="AH51" s="1"/>
      <c r="AI51" s="1"/>
      <c r="AJ51"/>
      <c r="AK51"/>
      <c r="AL51"/>
      <c r="AM51"/>
      <c r="AN51"/>
      <c r="AO51"/>
    </row>
    <row r="52" spans="2:41" s="5" customFormat="1" x14ac:dyDescent="0.55000000000000004">
      <c r="B52" s="8"/>
      <c r="H52" s="19"/>
      <c r="I52" s="19"/>
      <c r="J52" s="19"/>
      <c r="K52" s="19"/>
      <c r="AB52" s="1"/>
      <c r="AC52" s="3"/>
      <c r="AD52" s="3"/>
      <c r="AE52"/>
      <c r="AF52" s="4"/>
      <c r="AG52" s="4"/>
      <c r="AH52" s="1"/>
      <c r="AI52" s="1"/>
      <c r="AJ52"/>
      <c r="AK52"/>
      <c r="AL52"/>
      <c r="AM52"/>
      <c r="AN52"/>
      <c r="AO52"/>
    </row>
    <row r="53" spans="2:41" s="5" customFormat="1" x14ac:dyDescent="0.55000000000000004">
      <c r="B53" s="8"/>
      <c r="H53" s="19"/>
      <c r="I53" s="19"/>
      <c r="J53" s="19"/>
      <c r="K53" s="19"/>
      <c r="AB53" s="1"/>
      <c r="AC53" s="2"/>
      <c r="AD53" s="2"/>
      <c r="AE53"/>
      <c r="AF53"/>
      <c r="AG53"/>
      <c r="AH53"/>
      <c r="AI53"/>
      <c r="AJ53"/>
      <c r="AK53"/>
      <c r="AL53"/>
      <c r="AM53"/>
      <c r="AN53"/>
      <c r="AO53"/>
    </row>
    <row r="54" spans="2:41" s="5" customFormat="1" x14ac:dyDescent="0.55000000000000004">
      <c r="B54" s="8"/>
      <c r="H54" s="19"/>
      <c r="I54" s="19"/>
      <c r="J54" s="19"/>
      <c r="K54" s="19"/>
      <c r="AB54" s="1"/>
      <c r="AC54" s="2"/>
      <c r="AD54" s="2"/>
      <c r="AE54"/>
      <c r="AF54"/>
      <c r="AG54"/>
      <c r="AH54"/>
      <c r="AI54"/>
      <c r="AJ54"/>
      <c r="AK54"/>
      <c r="AL54"/>
      <c r="AM54"/>
      <c r="AN54"/>
      <c r="AO54"/>
    </row>
    <row r="55" spans="2:41" x14ac:dyDescent="0.55000000000000004">
      <c r="L55"/>
    </row>
    <row r="56" spans="2:41" x14ac:dyDescent="0.55000000000000004">
      <c r="L56"/>
    </row>
    <row r="57" spans="2:41" x14ac:dyDescent="0.55000000000000004">
      <c r="L57"/>
    </row>
  </sheetData>
  <mergeCells count="3">
    <mergeCell ref="F2:J2"/>
    <mergeCell ref="F4:F5"/>
    <mergeCell ref="G4:G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79B6-C17A-4F4F-A530-4092E080F9F9}">
  <dimension ref="A1:AR60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27.41796875" bestFit="1" customWidth="1"/>
    <col min="8" max="8" width="12.734375" style="7" customWidth="1"/>
    <col min="9" max="9" width="16.05078125" style="7" customWidth="1"/>
    <col min="10" max="10" width="8.41796875" style="7" customWidth="1"/>
    <col min="11" max="11" width="8.734375" style="7" customWidth="1"/>
    <col min="12" max="12" width="14.05078125" style="7" customWidth="1"/>
    <col min="13" max="13" width="13.5234375" style="7" customWidth="1"/>
    <col min="14" max="14" width="9.734375" style="7" customWidth="1"/>
    <col min="15" max="15" width="12.68359375" style="7" customWidth="1"/>
    <col min="19" max="19" width="18" customWidth="1"/>
    <col min="20" max="21" width="15.734375" customWidth="1"/>
    <col min="22" max="22" width="14.7890625" customWidth="1"/>
  </cols>
  <sheetData>
    <row r="1" spans="1:15" s="5" customFormat="1" x14ac:dyDescent="0.55000000000000004">
      <c r="A1" s="5" t="s">
        <v>218</v>
      </c>
      <c r="H1" s="19"/>
      <c r="I1" s="19"/>
      <c r="J1" s="19"/>
      <c r="K1" s="19"/>
      <c r="L1" s="19"/>
      <c r="M1" s="19"/>
      <c r="N1" s="19"/>
      <c r="O1" s="19"/>
    </row>
    <row r="2" spans="1:15" s="5" customFormat="1" x14ac:dyDescent="0.55000000000000004">
      <c r="B2" s="8"/>
      <c r="F2" s="36" t="s">
        <v>155</v>
      </c>
      <c r="G2" s="36"/>
      <c r="H2" s="36"/>
      <c r="I2" s="36"/>
      <c r="J2" s="36"/>
      <c r="K2" s="19"/>
      <c r="L2" s="19"/>
      <c r="M2" s="19"/>
      <c r="N2" s="19"/>
      <c r="O2" s="19"/>
    </row>
    <row r="3" spans="1:15" s="5" customFormat="1" x14ac:dyDescent="0.55000000000000004">
      <c r="B3" s="8" t="s">
        <v>0</v>
      </c>
      <c r="C3" s="5" t="s">
        <v>214</v>
      </c>
      <c r="F3" s="16"/>
      <c r="G3" s="22"/>
      <c r="H3" s="22"/>
      <c r="I3" s="22"/>
      <c r="J3" s="22"/>
      <c r="L3" s="19"/>
      <c r="M3" s="19"/>
      <c r="N3" s="19"/>
      <c r="O3" s="19"/>
    </row>
    <row r="4" spans="1:15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  <c r="L4" s="19"/>
      <c r="M4" s="19"/>
      <c r="N4" s="19"/>
      <c r="O4" s="19"/>
    </row>
    <row r="5" spans="1:15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  <c r="L5" s="19"/>
      <c r="M5" s="19"/>
      <c r="N5" s="19"/>
      <c r="O5" s="19"/>
    </row>
    <row r="6" spans="1:15" s="5" customFormat="1" x14ac:dyDescent="0.55000000000000004">
      <c r="B6" s="8" t="s">
        <v>2</v>
      </c>
      <c r="C6" s="5">
        <v>1</v>
      </c>
      <c r="F6" t="s">
        <v>170</v>
      </c>
      <c r="G6" s="24">
        <v>15</v>
      </c>
      <c r="H6">
        <v>5</v>
      </c>
      <c r="I6">
        <v>0.12</v>
      </c>
      <c r="J6" s="33">
        <v>30.888710657500116</v>
      </c>
      <c r="K6" s="5">
        <f t="shared" ref="K6:K19" si="0">(J6*(H6+I6)/I6)/39.098</f>
        <v>33.708075128821726</v>
      </c>
      <c r="L6" s="19"/>
      <c r="M6" s="19"/>
      <c r="N6" s="19"/>
      <c r="O6" s="19"/>
    </row>
    <row r="7" spans="1:15" s="5" customFormat="1" x14ac:dyDescent="0.55000000000000004">
      <c r="B7" s="8" t="s">
        <v>3</v>
      </c>
      <c r="C7" s="5" t="s">
        <v>26</v>
      </c>
      <c r="F7" t="s">
        <v>171</v>
      </c>
      <c r="G7" s="25">
        <v>16</v>
      </c>
      <c r="H7">
        <v>5</v>
      </c>
      <c r="I7">
        <v>2.5000000000000001E-2</v>
      </c>
      <c r="J7" s="34">
        <v>0.75670866123465019</v>
      </c>
      <c r="K7" s="5">
        <f t="shared" si="0"/>
        <v>3.8901846874051023</v>
      </c>
      <c r="L7" s="19"/>
      <c r="M7" s="19"/>
      <c r="N7" s="19"/>
      <c r="O7" s="19"/>
    </row>
    <row r="8" spans="1:15" s="5" customFormat="1" x14ac:dyDescent="0.55000000000000004">
      <c r="B8" s="8" t="s">
        <v>4</v>
      </c>
      <c r="C8" s="5">
        <v>30</v>
      </c>
      <c r="D8" s="5" t="s">
        <v>5</v>
      </c>
      <c r="F8" t="s">
        <v>172</v>
      </c>
      <c r="G8" s="24">
        <v>17</v>
      </c>
      <c r="H8">
        <v>5</v>
      </c>
      <c r="I8">
        <v>2.5000000000000001E-2</v>
      </c>
      <c r="J8" s="33">
        <v>2.1403745816208497</v>
      </c>
      <c r="K8" s="5">
        <f t="shared" si="0"/>
        <v>11.003511455977051</v>
      </c>
      <c r="L8" s="19"/>
      <c r="M8" s="19"/>
      <c r="N8" s="19"/>
      <c r="O8" s="19"/>
    </row>
    <row r="9" spans="1:15" s="5" customFormat="1" x14ac:dyDescent="0.55000000000000004">
      <c r="B9" s="8" t="s">
        <v>6</v>
      </c>
      <c r="C9" s="5">
        <v>1</v>
      </c>
      <c r="D9" s="5" t="s">
        <v>5</v>
      </c>
      <c r="F9" t="s">
        <v>173</v>
      </c>
      <c r="G9" s="25">
        <v>18</v>
      </c>
      <c r="H9">
        <v>5</v>
      </c>
      <c r="I9">
        <v>2.5000000000000001E-2</v>
      </c>
      <c r="J9" s="34">
        <v>2.8176328214867117</v>
      </c>
      <c r="K9" s="5">
        <f t="shared" si="0"/>
        <v>14.485247253538008</v>
      </c>
      <c r="L9" s="19"/>
      <c r="M9" s="19"/>
      <c r="N9" s="19"/>
      <c r="O9" s="19"/>
    </row>
    <row r="10" spans="1:15" s="5" customFormat="1" x14ac:dyDescent="0.55000000000000004">
      <c r="B10" s="8"/>
      <c r="F10" t="s">
        <v>174</v>
      </c>
      <c r="G10" s="24">
        <v>19</v>
      </c>
      <c r="H10">
        <v>5</v>
      </c>
      <c r="I10">
        <v>2.5000000000000001E-2</v>
      </c>
      <c r="J10" s="33">
        <v>3.8650874060658267</v>
      </c>
      <c r="K10" s="5">
        <f t="shared" si="0"/>
        <v>19.870135777257946</v>
      </c>
      <c r="L10" s="19"/>
      <c r="M10" s="19"/>
      <c r="N10" s="19"/>
      <c r="O10" s="19"/>
    </row>
    <row r="11" spans="1:15" s="5" customFormat="1" x14ac:dyDescent="0.55000000000000004">
      <c r="B11" s="8" t="s">
        <v>8</v>
      </c>
      <c r="C11" s="5">
        <v>32.729999999999997</v>
      </c>
      <c r="D11" s="5" t="s">
        <v>9</v>
      </c>
      <c r="F11" t="s">
        <v>175</v>
      </c>
      <c r="G11" s="25">
        <v>20</v>
      </c>
      <c r="H11">
        <v>5</v>
      </c>
      <c r="I11">
        <v>2.5000000000000001E-2</v>
      </c>
      <c r="J11" s="34">
        <v>3.8729910754212042</v>
      </c>
      <c r="K11" s="5">
        <f t="shared" si="0"/>
        <v>19.910767971754616</v>
      </c>
      <c r="L11" s="19"/>
      <c r="M11" s="19"/>
      <c r="N11" s="38"/>
      <c r="O11" s="38"/>
    </row>
    <row r="12" spans="1:15" s="5" customFormat="1" x14ac:dyDescent="0.55000000000000004">
      <c r="B12" s="8" t="s">
        <v>10</v>
      </c>
      <c r="C12" s="5">
        <v>42.89</v>
      </c>
      <c r="D12" s="5" t="s">
        <v>9</v>
      </c>
      <c r="F12" t="s">
        <v>176</v>
      </c>
      <c r="G12" s="24">
        <v>21</v>
      </c>
      <c r="H12">
        <v>5</v>
      </c>
      <c r="I12">
        <v>2.5000000000000001E-2</v>
      </c>
      <c r="J12" s="33">
        <v>3.4821771771400543</v>
      </c>
      <c r="K12" s="5">
        <f t="shared" si="0"/>
        <v>17.901621888719397</v>
      </c>
      <c r="L12" s="19"/>
      <c r="M12" s="19"/>
      <c r="N12" s="19"/>
      <c r="O12" s="19"/>
    </row>
    <row r="13" spans="1:15" s="5" customFormat="1" x14ac:dyDescent="0.55000000000000004">
      <c r="B13" s="8" t="s">
        <v>11</v>
      </c>
      <c r="C13" s="5">
        <v>43.25</v>
      </c>
      <c r="D13" s="5" t="s">
        <v>9</v>
      </c>
      <c r="F13" t="s">
        <v>177</v>
      </c>
      <c r="G13" s="25">
        <v>22</v>
      </c>
      <c r="H13">
        <v>5</v>
      </c>
      <c r="I13">
        <v>2.5000000000000001E-2</v>
      </c>
      <c r="J13" s="34">
        <v>3.2229367270124567</v>
      </c>
      <c r="K13" s="5">
        <f t="shared" si="0"/>
        <v>16.568885419446108</v>
      </c>
      <c r="L13" s="19"/>
      <c r="M13" s="19"/>
      <c r="N13" s="19"/>
      <c r="O13" s="19"/>
    </row>
    <row r="14" spans="1:15" s="5" customFormat="1" x14ac:dyDescent="0.55000000000000004">
      <c r="B14" s="8"/>
      <c r="F14" t="s">
        <v>178</v>
      </c>
      <c r="G14" s="24">
        <v>23</v>
      </c>
      <c r="H14">
        <v>5</v>
      </c>
      <c r="I14">
        <v>2.5000000000000001E-2</v>
      </c>
      <c r="J14" s="33">
        <v>2.9950748920829984</v>
      </c>
      <c r="K14" s="5">
        <f t="shared" si="0"/>
        <v>15.397464149283408</v>
      </c>
      <c r="L14" s="19"/>
      <c r="M14" s="19"/>
      <c r="N14" s="19"/>
      <c r="O14" s="19"/>
    </row>
    <row r="15" spans="1:15" s="5" customFormat="1" x14ac:dyDescent="0.55000000000000004">
      <c r="B15" s="8" t="s">
        <v>12</v>
      </c>
      <c r="C15" s="5">
        <v>14.541</v>
      </c>
      <c r="D15" s="5" t="s">
        <v>13</v>
      </c>
      <c r="F15" t="s">
        <v>179</v>
      </c>
      <c r="G15" s="25">
        <v>24</v>
      </c>
      <c r="H15">
        <v>5</v>
      </c>
      <c r="I15">
        <v>2.5000000000000001E-2</v>
      </c>
      <c r="J15" s="34">
        <v>2.8344983066970193</v>
      </c>
      <c r="K15" s="5">
        <f t="shared" si="0"/>
        <v>14.571951497419329</v>
      </c>
      <c r="L15" s="19"/>
      <c r="M15" s="19"/>
      <c r="N15" s="19"/>
      <c r="O15" s="19"/>
    </row>
    <row r="16" spans="1:15" s="5" customFormat="1" x14ac:dyDescent="0.55000000000000004">
      <c r="B16" s="8" t="s">
        <v>14</v>
      </c>
      <c r="C16" s="5">
        <v>60.938000000000002</v>
      </c>
      <c r="D16" s="5" t="s">
        <v>13</v>
      </c>
      <c r="F16" t="s">
        <v>180</v>
      </c>
      <c r="G16" s="24">
        <v>25</v>
      </c>
      <c r="H16">
        <v>5</v>
      </c>
      <c r="I16">
        <v>2.5000000000000001E-2</v>
      </c>
      <c r="J16" s="33">
        <v>2.6606357283023887</v>
      </c>
      <c r="K16" s="5">
        <f t="shared" si="0"/>
        <v>13.678136513089676</v>
      </c>
      <c r="L16" s="19"/>
      <c r="M16" s="19"/>
      <c r="N16" s="19"/>
      <c r="O16" s="19"/>
    </row>
    <row r="17" spans="2:21" s="5" customFormat="1" x14ac:dyDescent="0.55000000000000004">
      <c r="B17" s="8"/>
      <c r="F17" t="s">
        <v>181</v>
      </c>
      <c r="G17" s="25">
        <v>26</v>
      </c>
      <c r="H17">
        <v>5</v>
      </c>
      <c r="I17">
        <v>2.5000000000000001E-2</v>
      </c>
      <c r="J17" s="34">
        <v>2.5271368807553212</v>
      </c>
      <c r="K17" s="5">
        <f t="shared" si="0"/>
        <v>12.991828559819417</v>
      </c>
      <c r="L17" s="19"/>
      <c r="M17" s="19"/>
      <c r="N17" s="19"/>
      <c r="O17" s="19"/>
    </row>
    <row r="18" spans="2:21" s="5" customFormat="1" ht="13.9" customHeight="1" x14ac:dyDescent="0.55000000000000004">
      <c r="B18" s="21" t="s">
        <v>19</v>
      </c>
      <c r="C18" s="16">
        <v>2.75</v>
      </c>
      <c r="D18" s="9" t="s">
        <v>9</v>
      </c>
      <c r="F18" t="s">
        <v>182</v>
      </c>
      <c r="G18" s="24">
        <v>27</v>
      </c>
      <c r="H18">
        <v>5</v>
      </c>
      <c r="I18">
        <v>2.5000000000000001E-2</v>
      </c>
      <c r="J18" s="33">
        <v>2.3988614092365457</v>
      </c>
      <c r="K18" s="5">
        <f t="shared" si="0"/>
        <v>12.332373606234224</v>
      </c>
      <c r="L18" s="19"/>
      <c r="M18" s="19"/>
      <c r="N18" s="19"/>
      <c r="O18" s="19"/>
    </row>
    <row r="19" spans="2:21" s="12" customFormat="1" ht="13.9" customHeight="1" x14ac:dyDescent="0.55000000000000004">
      <c r="B19" s="21" t="s">
        <v>20</v>
      </c>
      <c r="C19" s="16">
        <v>3.57</v>
      </c>
      <c r="D19" s="9" t="s">
        <v>9</v>
      </c>
      <c r="F19" t="s">
        <v>183</v>
      </c>
      <c r="G19" s="25">
        <v>28</v>
      </c>
      <c r="H19">
        <v>5</v>
      </c>
      <c r="I19">
        <v>2.5000000000000001E-2</v>
      </c>
      <c r="J19" s="34">
        <v>2.2645992414630891</v>
      </c>
      <c r="K19" s="5">
        <f t="shared" si="0"/>
        <v>11.642141478696633</v>
      </c>
    </row>
    <row r="20" spans="2:21" s="5" customFormat="1" ht="13.9" customHeight="1" x14ac:dyDescent="0.55000000000000004">
      <c r="L20" s="13"/>
      <c r="M20" s="13"/>
      <c r="O20" s="19"/>
      <c r="P20" s="19"/>
      <c r="Q20" s="19"/>
      <c r="R20" s="19"/>
      <c r="T20" s="19"/>
      <c r="U20" s="19"/>
    </row>
    <row r="21" spans="2:21" s="5" customFormat="1" ht="13.9" customHeight="1" x14ac:dyDescent="0.55000000000000004">
      <c r="L21" s="19"/>
      <c r="M21" s="13"/>
      <c r="O21" s="19"/>
      <c r="P21" s="19"/>
      <c r="Q21" s="19"/>
      <c r="R21" s="19"/>
      <c r="T21" s="19"/>
      <c r="U21" s="19"/>
    </row>
    <row r="22" spans="2:21" s="5" customFormat="1" ht="13.9" customHeight="1" x14ac:dyDescent="0.55000000000000004">
      <c r="L22" s="19"/>
      <c r="M22" s="11"/>
      <c r="O22" s="19"/>
      <c r="P22" s="9"/>
      <c r="Q22" s="19"/>
      <c r="R22" s="19"/>
      <c r="S22" s="10"/>
      <c r="T22" s="14"/>
      <c r="U22" s="10"/>
    </row>
    <row r="23" spans="2:21" s="5" customFormat="1" ht="13.9" customHeight="1" x14ac:dyDescent="0.55000000000000004">
      <c r="L23" s="19"/>
      <c r="M23" s="11"/>
      <c r="O23" s="19"/>
      <c r="P23" s="9"/>
      <c r="Q23" s="19"/>
      <c r="R23" s="19"/>
      <c r="S23" s="10"/>
      <c r="T23" s="14"/>
      <c r="U23" s="10"/>
    </row>
    <row r="24" spans="2:21" s="5" customFormat="1" ht="13.9" customHeight="1" x14ac:dyDescent="0.55000000000000004">
      <c r="L24" s="19"/>
      <c r="M24" s="11"/>
      <c r="O24" s="19"/>
      <c r="P24" s="9"/>
      <c r="Q24" s="19"/>
      <c r="R24" s="19"/>
      <c r="S24" s="10"/>
      <c r="T24" s="14"/>
      <c r="U24" s="10"/>
    </row>
    <row r="25" spans="2:21" s="5" customFormat="1" x14ac:dyDescent="0.55000000000000004">
      <c r="H25" s="19"/>
      <c r="L25" s="19"/>
      <c r="M25" s="11"/>
      <c r="O25" s="19"/>
      <c r="P25" s="9"/>
      <c r="Q25" s="19"/>
      <c r="R25" s="19"/>
      <c r="S25" s="10"/>
      <c r="T25" s="14"/>
      <c r="U25" s="10"/>
    </row>
    <row r="26" spans="2:21" s="5" customFormat="1" x14ac:dyDescent="0.55000000000000004">
      <c r="H26" s="19"/>
      <c r="L26" s="19"/>
      <c r="M26" s="11"/>
      <c r="O26" s="19"/>
      <c r="P26" s="9"/>
      <c r="Q26" s="19"/>
      <c r="R26" s="19"/>
      <c r="S26" s="10"/>
      <c r="T26" s="14"/>
      <c r="U26" s="10"/>
    </row>
    <row r="27" spans="2:21" s="5" customFormat="1" x14ac:dyDescent="0.55000000000000004">
      <c r="H27" s="19"/>
      <c r="L27" s="19"/>
      <c r="M27" s="11"/>
      <c r="O27" s="19"/>
      <c r="P27" s="9"/>
      <c r="Q27" s="19"/>
      <c r="R27" s="19"/>
      <c r="S27" s="10"/>
      <c r="T27" s="14"/>
      <c r="U27" s="10"/>
    </row>
    <row r="28" spans="2:21" s="5" customFormat="1" x14ac:dyDescent="0.55000000000000004">
      <c r="H28" s="19"/>
      <c r="L28" s="19"/>
      <c r="M28" s="11"/>
      <c r="O28" s="19"/>
      <c r="P28" s="9"/>
      <c r="Q28" s="19"/>
      <c r="R28" s="19"/>
      <c r="S28" s="10"/>
      <c r="T28" s="14"/>
      <c r="U28" s="10"/>
    </row>
    <row r="29" spans="2:21" s="5" customFormat="1" x14ac:dyDescent="0.55000000000000004">
      <c r="H29" s="19"/>
      <c r="L29" s="19"/>
      <c r="M29" s="11"/>
      <c r="O29" s="19"/>
      <c r="P29" s="9"/>
      <c r="Q29" s="19"/>
      <c r="R29" s="19"/>
      <c r="S29" s="10"/>
      <c r="T29" s="14"/>
      <c r="U29" s="10"/>
    </row>
    <row r="30" spans="2:21" s="5" customFormat="1" x14ac:dyDescent="0.55000000000000004">
      <c r="B30" s="16"/>
      <c r="C30" s="19"/>
      <c r="D30" s="19"/>
      <c r="E30" s="15"/>
      <c r="F30" s="17"/>
      <c r="H30" s="19"/>
      <c r="I30" s="9"/>
      <c r="J30" s="19"/>
      <c r="K30" s="19"/>
      <c r="L30" s="19"/>
      <c r="M30" s="11"/>
      <c r="O30" s="19"/>
      <c r="P30" s="9"/>
      <c r="Q30" s="19"/>
      <c r="R30" s="19"/>
      <c r="S30" s="10"/>
      <c r="T30" s="14"/>
      <c r="U30" s="10"/>
    </row>
    <row r="31" spans="2:21" s="5" customFormat="1" x14ac:dyDescent="0.55000000000000004">
      <c r="B31" s="16"/>
      <c r="C31" s="19"/>
      <c r="D31" s="19"/>
      <c r="E31" s="15"/>
      <c r="F31" s="17"/>
      <c r="H31" s="19"/>
      <c r="I31" s="11"/>
    </row>
    <row r="32" spans="2:21" s="5" customFormat="1" x14ac:dyDescent="0.55000000000000004">
      <c r="B32" s="16"/>
      <c r="C32" s="19"/>
      <c r="D32" s="19"/>
      <c r="E32" s="15"/>
      <c r="F32" s="17"/>
      <c r="H32" s="19"/>
      <c r="I32" s="9"/>
      <c r="J32" s="19"/>
      <c r="K32" s="19"/>
      <c r="L32" s="9"/>
      <c r="M32" s="10"/>
      <c r="N32" s="19"/>
      <c r="O32" s="11"/>
    </row>
    <row r="33" spans="2:44" s="5" customFormat="1" x14ac:dyDescent="0.55000000000000004">
      <c r="B33" s="16"/>
      <c r="C33" s="19"/>
      <c r="D33" s="19"/>
      <c r="E33" s="15"/>
      <c r="F33" s="17"/>
      <c r="I33" s="9"/>
      <c r="J33" s="19"/>
      <c r="K33" s="19"/>
      <c r="L33" s="9"/>
      <c r="M33" s="10"/>
      <c r="N33" s="19"/>
      <c r="O33" s="11"/>
    </row>
    <row r="34" spans="2:44" s="5" customFormat="1" x14ac:dyDescent="0.55000000000000004">
      <c r="B34" s="19"/>
      <c r="C34" s="19"/>
      <c r="D34" s="19"/>
      <c r="E34" s="19"/>
      <c r="F34" s="15"/>
      <c r="I34" s="9"/>
      <c r="J34" s="19"/>
      <c r="K34" s="19"/>
      <c r="L34" s="9"/>
      <c r="M34" s="10"/>
      <c r="N34" s="19"/>
      <c r="O34" s="11"/>
    </row>
    <row r="35" spans="2:44" s="5" customFormat="1" x14ac:dyDescent="0.55000000000000004">
      <c r="C35" s="8"/>
      <c r="E35" s="8"/>
      <c r="F35" s="18"/>
      <c r="H35" s="19"/>
      <c r="I35" s="19"/>
      <c r="J35" s="19"/>
      <c r="K35" s="19"/>
      <c r="L35" s="19"/>
      <c r="M35" s="6"/>
      <c r="N35" s="19"/>
      <c r="O35" s="19"/>
    </row>
    <row r="36" spans="2:44" s="5" customFormat="1" x14ac:dyDescent="0.55000000000000004">
      <c r="B36" s="8"/>
      <c r="H36" s="19"/>
      <c r="I36" s="19"/>
      <c r="J36" s="19"/>
      <c r="K36" s="19"/>
      <c r="L36" s="19"/>
      <c r="M36" s="6"/>
      <c r="N36" s="19"/>
      <c r="O36" s="19"/>
    </row>
    <row r="37" spans="2:44" x14ac:dyDescent="0.55000000000000004">
      <c r="B37" s="8"/>
      <c r="C37" s="5"/>
      <c r="D37" s="5"/>
      <c r="E37" s="5"/>
      <c r="H37" s="19"/>
    </row>
    <row r="38" spans="2:44" x14ac:dyDescent="0.55000000000000004">
      <c r="B38" s="8"/>
      <c r="C38" s="5"/>
      <c r="D38" s="5"/>
      <c r="E38" s="5"/>
    </row>
    <row r="40" spans="2:44" s="5" customFormat="1" x14ac:dyDescent="0.55000000000000004">
      <c r="H40" s="19"/>
      <c r="I40" s="19"/>
      <c r="J40" s="19"/>
      <c r="K40" s="19"/>
      <c r="L40" s="19"/>
      <c r="M40" s="19"/>
      <c r="N40" s="19"/>
      <c r="O40" s="19"/>
    </row>
    <row r="41" spans="2:44" s="5" customFormat="1" x14ac:dyDescent="0.55000000000000004">
      <c r="B41" s="8"/>
      <c r="H41" s="19"/>
      <c r="I41" s="19"/>
      <c r="J41" s="19"/>
      <c r="K41" s="19"/>
      <c r="L41" s="19"/>
      <c r="M41" s="19"/>
      <c r="N41" s="19"/>
      <c r="O41" s="19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2:44" s="5" customFormat="1" x14ac:dyDescent="0.55000000000000004">
      <c r="B42" s="8"/>
      <c r="H42" s="19"/>
      <c r="I42" s="19"/>
      <c r="J42" s="19"/>
      <c r="K42" s="19"/>
      <c r="L42" s="19"/>
      <c r="M42" s="19"/>
      <c r="N42" s="19"/>
      <c r="O42" s="19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2:44" s="5" customFormat="1" x14ac:dyDescent="0.55000000000000004">
      <c r="B43" s="8"/>
      <c r="H43" s="19"/>
      <c r="I43" s="19"/>
      <c r="J43" s="19"/>
      <c r="K43" s="19"/>
      <c r="L43" s="19"/>
      <c r="M43" s="19"/>
      <c r="N43" s="19"/>
      <c r="O43" s="19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2:44" s="5" customFormat="1" x14ac:dyDescent="0.55000000000000004">
      <c r="B44" s="8"/>
      <c r="H44" s="19"/>
      <c r="I44" s="19"/>
      <c r="J44" s="19"/>
      <c r="K44" s="19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2:44" s="5" customFormat="1" x14ac:dyDescent="0.55000000000000004">
      <c r="B45" s="8"/>
      <c r="H45" s="19"/>
      <c r="I45" s="19"/>
      <c r="J45" s="19"/>
      <c r="K45" s="19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2:44" s="5" customFormat="1" x14ac:dyDescent="0.55000000000000004">
      <c r="B46" s="8"/>
      <c r="H46" s="19"/>
      <c r="I46" s="19"/>
      <c r="J46" s="19"/>
      <c r="K46" s="19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2:44" s="5" customFormat="1" x14ac:dyDescent="0.55000000000000004">
      <c r="B47" s="8"/>
      <c r="H47" s="19"/>
      <c r="I47" s="19"/>
      <c r="J47" s="19"/>
      <c r="K47" s="19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2:44" s="5" customFormat="1" x14ac:dyDescent="0.55000000000000004">
      <c r="B48" s="8"/>
      <c r="H48" s="19"/>
      <c r="I48" s="19"/>
      <c r="J48" s="19"/>
      <c r="K48" s="19"/>
      <c r="AE48" s="1"/>
      <c r="AF48" s="2"/>
      <c r="AG48" s="2"/>
      <c r="AH48"/>
      <c r="AI48"/>
      <c r="AJ48"/>
      <c r="AK48"/>
      <c r="AL48"/>
      <c r="AM48"/>
      <c r="AN48"/>
      <c r="AO48"/>
      <c r="AP48"/>
      <c r="AQ48"/>
      <c r="AR48"/>
    </row>
    <row r="49" spans="2:44" s="5" customFormat="1" x14ac:dyDescent="0.55000000000000004">
      <c r="B49" s="8"/>
      <c r="H49" s="19"/>
      <c r="I49" s="19"/>
      <c r="J49" s="19"/>
      <c r="K49" s="19"/>
      <c r="AE49" s="1"/>
      <c r="AF49" s="2"/>
      <c r="AG49" s="2"/>
      <c r="AH49"/>
      <c r="AI49"/>
      <c r="AJ49"/>
      <c r="AK49"/>
      <c r="AL49"/>
      <c r="AM49"/>
      <c r="AN49"/>
      <c r="AO49"/>
      <c r="AP49"/>
      <c r="AQ49"/>
      <c r="AR49"/>
    </row>
    <row r="50" spans="2:44" s="5" customFormat="1" x14ac:dyDescent="0.55000000000000004">
      <c r="B50" s="8"/>
      <c r="H50" s="19"/>
      <c r="I50" s="19"/>
      <c r="J50" s="19"/>
      <c r="K50" s="19"/>
      <c r="AE50" s="1"/>
      <c r="AF50" s="3"/>
      <c r="AG50" s="3"/>
      <c r="AH50"/>
      <c r="AI50" s="4"/>
      <c r="AJ50" s="4"/>
      <c r="AK50" s="1"/>
      <c r="AL50" s="1"/>
      <c r="AM50"/>
      <c r="AN50"/>
      <c r="AO50"/>
      <c r="AP50"/>
      <c r="AQ50"/>
      <c r="AR50"/>
    </row>
    <row r="51" spans="2:44" s="5" customFormat="1" x14ac:dyDescent="0.55000000000000004">
      <c r="B51" s="8"/>
      <c r="H51" s="19"/>
      <c r="I51" s="19"/>
      <c r="J51" s="19"/>
      <c r="K51" s="19"/>
      <c r="AE51" s="1"/>
      <c r="AF51" s="3"/>
      <c r="AG51" s="3"/>
      <c r="AH51"/>
      <c r="AI51" s="4"/>
      <c r="AJ51" s="4"/>
      <c r="AK51" s="1"/>
      <c r="AL51" s="1"/>
      <c r="AM51"/>
      <c r="AN51"/>
      <c r="AO51"/>
      <c r="AP51"/>
      <c r="AQ51"/>
      <c r="AR51"/>
    </row>
    <row r="52" spans="2:44" s="5" customFormat="1" x14ac:dyDescent="0.55000000000000004">
      <c r="B52" s="8"/>
      <c r="H52" s="19"/>
      <c r="I52" s="19"/>
      <c r="J52" s="19"/>
      <c r="K52" s="19"/>
      <c r="AE52" s="1"/>
      <c r="AF52" s="3"/>
      <c r="AG52" s="3"/>
      <c r="AH52"/>
      <c r="AI52" s="4"/>
      <c r="AJ52" s="4"/>
      <c r="AK52" s="1"/>
      <c r="AL52" s="1"/>
      <c r="AM52"/>
      <c r="AN52"/>
      <c r="AO52"/>
      <c r="AP52"/>
      <c r="AQ52"/>
      <c r="AR52"/>
    </row>
    <row r="53" spans="2:44" s="5" customFormat="1" x14ac:dyDescent="0.55000000000000004">
      <c r="B53" s="8"/>
      <c r="H53" s="19"/>
      <c r="I53" s="19"/>
      <c r="J53" s="19"/>
      <c r="K53" s="19"/>
      <c r="AE53" s="1"/>
      <c r="AF53" s="3"/>
      <c r="AG53" s="3"/>
      <c r="AH53"/>
      <c r="AI53" s="4"/>
      <c r="AJ53" s="4"/>
      <c r="AK53" s="1"/>
      <c r="AL53" s="1"/>
      <c r="AM53"/>
      <c r="AN53"/>
      <c r="AO53"/>
      <c r="AP53"/>
      <c r="AQ53"/>
      <c r="AR53"/>
    </row>
    <row r="54" spans="2:44" s="5" customFormat="1" x14ac:dyDescent="0.55000000000000004">
      <c r="B54" s="8"/>
      <c r="H54" s="19"/>
      <c r="I54" s="19"/>
      <c r="J54" s="19"/>
      <c r="K54" s="19"/>
      <c r="AE54" s="1"/>
      <c r="AF54" s="3"/>
      <c r="AG54" s="3"/>
      <c r="AH54"/>
      <c r="AI54" s="4"/>
      <c r="AJ54" s="4"/>
      <c r="AK54" s="1"/>
      <c r="AL54" s="1"/>
      <c r="AM54"/>
      <c r="AN54"/>
      <c r="AO54"/>
      <c r="AP54"/>
      <c r="AQ54"/>
      <c r="AR54"/>
    </row>
    <row r="55" spans="2:44" s="5" customFormat="1" x14ac:dyDescent="0.55000000000000004">
      <c r="B55" s="8"/>
      <c r="H55" s="19"/>
      <c r="I55" s="19"/>
      <c r="J55" s="19"/>
      <c r="K55" s="19"/>
      <c r="AE55" s="1"/>
      <c r="AF55" s="3"/>
      <c r="AG55" s="3"/>
      <c r="AH55"/>
      <c r="AI55" s="4"/>
      <c r="AJ55" s="4"/>
      <c r="AK55" s="1"/>
      <c r="AL55" s="1"/>
      <c r="AM55"/>
      <c r="AN55"/>
      <c r="AO55"/>
      <c r="AP55"/>
      <c r="AQ55"/>
      <c r="AR55"/>
    </row>
    <row r="56" spans="2:44" s="5" customFormat="1" x14ac:dyDescent="0.55000000000000004">
      <c r="B56" s="8"/>
      <c r="H56" s="19"/>
      <c r="I56" s="19"/>
      <c r="J56" s="19"/>
      <c r="K56" s="19"/>
      <c r="AE56" s="1"/>
      <c r="AF56" s="2"/>
      <c r="AG56" s="2"/>
      <c r="AH56"/>
      <c r="AI56"/>
      <c r="AJ56"/>
      <c r="AK56"/>
      <c r="AL56"/>
      <c r="AM56"/>
      <c r="AN56"/>
      <c r="AO56"/>
      <c r="AP56"/>
      <c r="AQ56"/>
      <c r="AR56"/>
    </row>
    <row r="57" spans="2:44" s="5" customFormat="1" x14ac:dyDescent="0.55000000000000004">
      <c r="B57" s="8"/>
      <c r="H57" s="19"/>
      <c r="I57" s="19"/>
      <c r="J57" s="19"/>
      <c r="K57" s="19"/>
      <c r="AE57" s="1"/>
      <c r="AF57" s="2"/>
      <c r="AG57" s="2"/>
      <c r="AH57"/>
      <c r="AI57"/>
      <c r="AJ57"/>
      <c r="AK57"/>
      <c r="AL57"/>
      <c r="AM57"/>
      <c r="AN57"/>
      <c r="AO57"/>
      <c r="AP57"/>
      <c r="AQ57"/>
      <c r="AR57"/>
    </row>
    <row r="58" spans="2:44" x14ac:dyDescent="0.55000000000000004">
      <c r="L58"/>
      <c r="M58"/>
      <c r="N58"/>
      <c r="O58"/>
    </row>
    <row r="59" spans="2:44" x14ac:dyDescent="0.55000000000000004">
      <c r="L59"/>
      <c r="M59"/>
      <c r="N59"/>
      <c r="O59"/>
    </row>
    <row r="60" spans="2:44" x14ac:dyDescent="0.55000000000000004">
      <c r="L60"/>
      <c r="M60"/>
      <c r="N60"/>
      <c r="O60"/>
    </row>
  </sheetData>
  <mergeCells count="4">
    <mergeCell ref="F2:J2"/>
    <mergeCell ref="F4:F5"/>
    <mergeCell ref="G4:G5"/>
    <mergeCell ref="N11:O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46BA-54F3-4EEF-BE45-F6C368230E1F}">
  <dimension ref="A1:AR65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28.47265625" bestFit="1" customWidth="1"/>
    <col min="8" max="8" width="12.734375" style="7" customWidth="1"/>
    <col min="9" max="9" width="16.05078125" style="7" customWidth="1"/>
    <col min="10" max="10" width="8.41796875" style="7" customWidth="1"/>
    <col min="11" max="11" width="8.734375" style="7" customWidth="1"/>
    <col min="12" max="12" width="14.05078125" style="7" customWidth="1"/>
    <col min="13" max="13" width="13.5234375" style="7" customWidth="1"/>
    <col min="14" max="14" width="9.734375" style="7" customWidth="1"/>
    <col min="15" max="15" width="12.68359375" style="7" customWidth="1"/>
    <col min="19" max="19" width="18" customWidth="1"/>
    <col min="20" max="21" width="15.734375" customWidth="1"/>
    <col min="22" max="22" width="14.7890625" customWidth="1"/>
  </cols>
  <sheetData>
    <row r="1" spans="1:15" s="5" customFormat="1" x14ac:dyDescent="0.55000000000000004">
      <c r="A1" s="5" t="s">
        <v>219</v>
      </c>
      <c r="H1" s="19"/>
      <c r="I1" s="19"/>
      <c r="J1" s="19"/>
      <c r="K1" s="19"/>
      <c r="L1" s="19"/>
      <c r="M1" s="19"/>
      <c r="N1" s="19"/>
      <c r="O1" s="19"/>
    </row>
    <row r="2" spans="1:15" s="5" customFormat="1" x14ac:dyDescent="0.55000000000000004">
      <c r="B2" s="8"/>
      <c r="F2" s="36" t="s">
        <v>155</v>
      </c>
      <c r="G2" s="36"/>
      <c r="H2" s="36"/>
      <c r="I2" s="36"/>
      <c r="J2" s="36"/>
      <c r="K2" s="19"/>
      <c r="L2" s="19"/>
      <c r="M2" s="19"/>
      <c r="N2" s="19"/>
      <c r="O2" s="19"/>
    </row>
    <row r="3" spans="1:15" s="5" customFormat="1" x14ac:dyDescent="0.55000000000000004">
      <c r="B3" s="8" t="s">
        <v>0</v>
      </c>
      <c r="C3" s="5" t="s">
        <v>215</v>
      </c>
      <c r="F3" s="16"/>
      <c r="G3" s="22"/>
      <c r="H3" s="22"/>
      <c r="I3" s="22"/>
      <c r="J3" s="22"/>
      <c r="L3" s="19"/>
      <c r="M3" s="19"/>
      <c r="N3" s="19"/>
      <c r="O3" s="19"/>
    </row>
    <row r="4" spans="1:15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  <c r="L4" s="19"/>
      <c r="M4" s="19"/>
      <c r="N4" s="19"/>
      <c r="O4" s="19"/>
    </row>
    <row r="5" spans="1:15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  <c r="L5" s="19"/>
      <c r="M5" s="19"/>
      <c r="N5" s="19"/>
      <c r="O5" s="19"/>
    </row>
    <row r="6" spans="1:15" s="5" customFormat="1" x14ac:dyDescent="0.55000000000000004">
      <c r="B6" s="8" t="s">
        <v>2</v>
      </c>
      <c r="C6" s="5">
        <v>1</v>
      </c>
      <c r="F6" t="s">
        <v>184</v>
      </c>
      <c r="G6" s="24">
        <v>29</v>
      </c>
      <c r="H6">
        <v>5</v>
      </c>
      <c r="I6">
        <v>1.2E-2</v>
      </c>
      <c r="J6" s="33">
        <v>9.2056039302558972</v>
      </c>
      <c r="K6" s="5">
        <f>(J6*(H6+I6)/I6)/39.0983</f>
        <v>98.338646647131611</v>
      </c>
      <c r="L6" s="19"/>
      <c r="M6" s="19"/>
      <c r="N6" s="19"/>
      <c r="O6" s="19"/>
    </row>
    <row r="7" spans="1:15" s="5" customFormat="1" x14ac:dyDescent="0.55000000000000004">
      <c r="B7" s="8" t="s">
        <v>3</v>
      </c>
      <c r="C7" s="5" t="s">
        <v>26</v>
      </c>
      <c r="F7" t="s">
        <v>185</v>
      </c>
      <c r="G7" s="25">
        <v>30</v>
      </c>
      <c r="H7">
        <v>5</v>
      </c>
      <c r="I7">
        <v>0.12</v>
      </c>
      <c r="J7" s="34">
        <v>11.348000802112972</v>
      </c>
      <c r="K7" s="5">
        <f t="shared" ref="K7:K19" si="0">(J7*(H7+I7)/I7)/39.0983</f>
        <v>12.383693601942289</v>
      </c>
      <c r="L7" s="19"/>
      <c r="M7" s="19"/>
      <c r="N7" s="19"/>
      <c r="O7" s="19"/>
    </row>
    <row r="8" spans="1:15" s="5" customFormat="1" x14ac:dyDescent="0.55000000000000004">
      <c r="B8" s="8" t="s">
        <v>4</v>
      </c>
      <c r="C8" s="5">
        <v>100</v>
      </c>
      <c r="D8" s="5" t="s">
        <v>5</v>
      </c>
      <c r="F8" t="s">
        <v>186</v>
      </c>
      <c r="G8" s="24">
        <v>31</v>
      </c>
      <c r="H8">
        <v>5</v>
      </c>
      <c r="I8">
        <v>2.5000000000000001E-2</v>
      </c>
      <c r="J8" s="33">
        <v>7.5291365349856418</v>
      </c>
      <c r="K8" s="5">
        <f t="shared" si="0"/>
        <v>38.706451265965889</v>
      </c>
      <c r="L8" s="19"/>
      <c r="M8" s="19"/>
      <c r="N8" s="19"/>
      <c r="O8" s="19"/>
    </row>
    <row r="9" spans="1:15" s="5" customFormat="1" x14ac:dyDescent="0.55000000000000004">
      <c r="B9" s="8" t="s">
        <v>6</v>
      </c>
      <c r="C9" s="5">
        <v>12</v>
      </c>
      <c r="D9" s="5" t="s">
        <v>5</v>
      </c>
      <c r="F9" t="s">
        <v>187</v>
      </c>
      <c r="G9" s="25">
        <v>32</v>
      </c>
      <c r="H9">
        <v>5</v>
      </c>
      <c r="I9">
        <v>2.5000000000000001E-2</v>
      </c>
      <c r="J9" s="34">
        <v>9.9962799749695002</v>
      </c>
      <c r="K9" s="5">
        <f t="shared" si="0"/>
        <v>51.389760551452866</v>
      </c>
      <c r="L9" s="19"/>
      <c r="M9" s="19"/>
      <c r="N9" s="19"/>
      <c r="O9" s="19"/>
    </row>
    <row r="10" spans="1:15" s="5" customFormat="1" x14ac:dyDescent="0.55000000000000004">
      <c r="B10" s="8"/>
      <c r="F10" t="s">
        <v>188</v>
      </c>
      <c r="G10" s="24">
        <v>33</v>
      </c>
      <c r="H10">
        <v>5</v>
      </c>
      <c r="I10">
        <v>2.5000000000000001E-2</v>
      </c>
      <c r="J10" s="33">
        <v>11.948933138969934</v>
      </c>
      <c r="K10" s="5">
        <f t="shared" si="0"/>
        <v>61.428132704822382</v>
      </c>
      <c r="L10" s="19"/>
      <c r="M10" s="19"/>
      <c r="N10" s="19"/>
      <c r="O10" s="19"/>
    </row>
    <row r="11" spans="1:15" s="5" customFormat="1" x14ac:dyDescent="0.55000000000000004">
      <c r="B11" s="8" t="s">
        <v>8</v>
      </c>
      <c r="C11" s="5">
        <v>32.119999999999997</v>
      </c>
      <c r="D11" s="5" t="s">
        <v>9</v>
      </c>
      <c r="F11" t="s">
        <v>189</v>
      </c>
      <c r="G11" s="25">
        <v>34</v>
      </c>
      <c r="H11">
        <v>5</v>
      </c>
      <c r="I11">
        <v>2.5000000000000001E-2</v>
      </c>
      <c r="J11" s="34">
        <v>13.05681868479798</v>
      </c>
      <c r="K11" s="5">
        <f t="shared" si="0"/>
        <v>67.123648742896606</v>
      </c>
      <c r="L11" s="19"/>
      <c r="M11" s="19"/>
      <c r="N11" s="38"/>
      <c r="O11" s="38"/>
    </row>
    <row r="12" spans="1:15" s="5" customFormat="1" x14ac:dyDescent="0.55000000000000004">
      <c r="B12" s="8" t="s">
        <v>10</v>
      </c>
      <c r="C12" s="5">
        <v>42.19</v>
      </c>
      <c r="D12" s="5" t="s">
        <v>9</v>
      </c>
      <c r="F12" t="s">
        <v>190</v>
      </c>
      <c r="G12" s="24">
        <v>35</v>
      </c>
      <c r="H12">
        <v>5</v>
      </c>
      <c r="I12">
        <v>2.5000000000000001E-2</v>
      </c>
      <c r="J12" s="33">
        <v>12.193593601378437</v>
      </c>
      <c r="K12" s="5">
        <f t="shared" si="0"/>
        <v>62.685904857169376</v>
      </c>
      <c r="L12" s="19"/>
      <c r="M12" s="19"/>
      <c r="N12" s="19"/>
      <c r="O12" s="19"/>
    </row>
    <row r="13" spans="1:15" s="5" customFormat="1" x14ac:dyDescent="0.55000000000000004">
      <c r="B13" s="8" t="s">
        <v>11</v>
      </c>
      <c r="C13" s="5">
        <v>42.85</v>
      </c>
      <c r="D13" s="5" t="s">
        <v>9</v>
      </c>
      <c r="F13" t="s">
        <v>191</v>
      </c>
      <c r="G13" s="25">
        <v>36</v>
      </c>
      <c r="H13">
        <v>5</v>
      </c>
      <c r="I13">
        <v>2.5000000000000001E-2</v>
      </c>
      <c r="J13" s="34">
        <v>11.488876719944157</v>
      </c>
      <c r="K13" s="5">
        <f t="shared" si="0"/>
        <v>59.063033960780274</v>
      </c>
      <c r="L13" s="19"/>
      <c r="M13" s="19"/>
      <c r="N13" s="19"/>
      <c r="O13" s="19"/>
    </row>
    <row r="14" spans="1:15" s="5" customFormat="1" x14ac:dyDescent="0.55000000000000004">
      <c r="B14" s="8"/>
      <c r="F14" t="s">
        <v>192</v>
      </c>
      <c r="G14" s="24">
        <v>37</v>
      </c>
      <c r="H14">
        <v>5</v>
      </c>
      <c r="I14">
        <v>2.5000000000000001E-2</v>
      </c>
      <c r="J14" s="33">
        <v>10.666837287466173</v>
      </c>
      <c r="K14" s="5">
        <f t="shared" si="0"/>
        <v>54.83702091345917</v>
      </c>
      <c r="L14" s="19"/>
      <c r="M14" s="19"/>
      <c r="N14" s="19"/>
      <c r="O14" s="19"/>
    </row>
    <row r="15" spans="1:15" s="5" customFormat="1" x14ac:dyDescent="0.55000000000000004">
      <c r="B15" s="8" t="s">
        <v>12</v>
      </c>
      <c r="C15" s="5">
        <v>14.823</v>
      </c>
      <c r="D15" s="5" t="s">
        <v>13</v>
      </c>
      <c r="F15" t="s">
        <v>193</v>
      </c>
      <c r="G15" s="25">
        <v>38</v>
      </c>
      <c r="H15">
        <v>5</v>
      </c>
      <c r="I15">
        <v>2.5000000000000001E-2</v>
      </c>
      <c r="J15" s="34">
        <v>10.147809573653715</v>
      </c>
      <c r="K15" s="5">
        <f t="shared" si="0"/>
        <v>52.168757319484399</v>
      </c>
      <c r="L15" s="19"/>
      <c r="M15" s="19"/>
      <c r="N15" s="19"/>
      <c r="O15" s="19"/>
    </row>
    <row r="16" spans="1:15" s="5" customFormat="1" x14ac:dyDescent="0.55000000000000004">
      <c r="B16" s="8" t="s">
        <v>14</v>
      </c>
      <c r="C16" s="5">
        <v>59.780999999999999</v>
      </c>
      <c r="D16" s="5" t="s">
        <v>13</v>
      </c>
      <c r="F16" t="s">
        <v>194</v>
      </c>
      <c r="G16" s="24">
        <v>39</v>
      </c>
      <c r="H16">
        <v>5</v>
      </c>
      <c r="I16">
        <v>2.5000000000000001E-2</v>
      </c>
      <c r="J16" s="33">
        <v>9.5067062221400871</v>
      </c>
      <c r="K16" s="5">
        <f t="shared" si="0"/>
        <v>48.872916486142806</v>
      </c>
      <c r="L16" s="19"/>
      <c r="M16" s="19"/>
      <c r="N16" s="19"/>
      <c r="O16" s="19"/>
    </row>
    <row r="17" spans="2:21" s="5" customFormat="1" x14ac:dyDescent="0.55000000000000004">
      <c r="B17" s="8"/>
      <c r="F17" t="s">
        <v>195</v>
      </c>
      <c r="G17" s="25">
        <v>40</v>
      </c>
      <c r="H17">
        <v>5</v>
      </c>
      <c r="I17">
        <v>2.5000000000000001E-2</v>
      </c>
      <c r="J17" s="34">
        <v>8.8156851834814862</v>
      </c>
      <c r="K17" s="5">
        <f t="shared" si="0"/>
        <v>45.320454390082908</v>
      </c>
      <c r="L17" s="19"/>
      <c r="M17" s="19"/>
      <c r="N17" s="19"/>
      <c r="O17" s="19"/>
    </row>
    <row r="18" spans="2:21" s="5" customFormat="1" ht="13.9" customHeight="1" x14ac:dyDescent="0.55000000000000004">
      <c r="B18" s="21" t="s">
        <v>19</v>
      </c>
      <c r="C18" s="16">
        <v>2.73</v>
      </c>
      <c r="D18" s="9" t="s">
        <v>9</v>
      </c>
      <c r="F18" t="s">
        <v>196</v>
      </c>
      <c r="G18" s="24">
        <v>41</v>
      </c>
      <c r="H18">
        <v>5</v>
      </c>
      <c r="I18">
        <v>2.5000000000000001E-2</v>
      </c>
      <c r="J18" s="33">
        <v>8.298344019895799</v>
      </c>
      <c r="K18" s="5">
        <f t="shared" si="0"/>
        <v>42.660861162737397</v>
      </c>
      <c r="L18" s="19"/>
      <c r="M18" s="19"/>
      <c r="N18" s="19"/>
      <c r="O18" s="19"/>
    </row>
    <row r="19" spans="2:21" s="12" customFormat="1" ht="13.9" customHeight="1" x14ac:dyDescent="0.55000000000000004">
      <c r="B19" s="21" t="s">
        <v>20</v>
      </c>
      <c r="C19" s="16">
        <v>3.49</v>
      </c>
      <c r="D19" s="9" t="s">
        <v>9</v>
      </c>
      <c r="F19" t="s">
        <v>197</v>
      </c>
      <c r="G19" s="25">
        <v>42</v>
      </c>
      <c r="H19">
        <v>5</v>
      </c>
      <c r="I19">
        <v>2.5000000000000001E-2</v>
      </c>
      <c r="J19" s="34">
        <v>7.8706657628932648</v>
      </c>
      <c r="K19" s="5">
        <f t="shared" si="0"/>
        <v>40.462214938796471</v>
      </c>
    </row>
    <row r="20" spans="2:21" s="5" customFormat="1" ht="13.9" customHeight="1" x14ac:dyDescent="0.55000000000000004">
      <c r="L20" s="13"/>
      <c r="M20" s="13"/>
      <c r="O20" s="19"/>
      <c r="P20" s="19"/>
      <c r="Q20" s="19"/>
      <c r="R20" s="19"/>
      <c r="T20" s="19"/>
      <c r="U20" s="19"/>
    </row>
    <row r="21" spans="2:21" s="5" customFormat="1" ht="13.9" customHeight="1" x14ac:dyDescent="0.55000000000000004">
      <c r="L21" s="19"/>
      <c r="M21" s="13"/>
      <c r="O21" s="19"/>
      <c r="P21" s="19"/>
      <c r="Q21" s="19"/>
      <c r="R21" s="19"/>
      <c r="T21" s="19"/>
      <c r="U21" s="19"/>
    </row>
    <row r="22" spans="2:21" s="5" customFormat="1" ht="13.9" customHeight="1" x14ac:dyDescent="0.55000000000000004">
      <c r="L22" s="19"/>
      <c r="M22" s="11"/>
      <c r="O22" s="19"/>
      <c r="P22" s="9"/>
      <c r="Q22" s="19"/>
      <c r="R22" s="19"/>
      <c r="S22" s="10"/>
      <c r="T22" s="14"/>
      <c r="U22" s="10"/>
    </row>
    <row r="23" spans="2:21" s="5" customFormat="1" ht="13.9" customHeight="1" x14ac:dyDescent="0.55000000000000004">
      <c r="L23" s="19"/>
      <c r="M23" s="11"/>
      <c r="O23" s="19"/>
      <c r="P23" s="9"/>
      <c r="Q23" s="19"/>
      <c r="R23" s="19"/>
      <c r="S23" s="10"/>
      <c r="T23" s="14"/>
      <c r="U23" s="10"/>
    </row>
    <row r="24" spans="2:21" s="5" customFormat="1" ht="13.9" customHeight="1" x14ac:dyDescent="0.55000000000000004">
      <c r="L24" s="19"/>
      <c r="M24" s="11"/>
      <c r="O24" s="19"/>
      <c r="P24" s="9"/>
      <c r="Q24" s="19"/>
      <c r="R24" s="19"/>
      <c r="S24" s="10"/>
      <c r="T24" s="14"/>
      <c r="U24" s="10"/>
    </row>
    <row r="25" spans="2:21" s="5" customFormat="1" ht="13.9" customHeight="1" x14ac:dyDescent="0.55000000000000004">
      <c r="L25" s="19"/>
      <c r="M25" s="11"/>
      <c r="O25" s="19"/>
      <c r="P25" s="9"/>
      <c r="Q25" s="19"/>
      <c r="R25" s="19"/>
      <c r="S25" s="10"/>
      <c r="T25" s="14"/>
      <c r="U25" s="10"/>
    </row>
    <row r="26" spans="2:21" s="5" customFormat="1" ht="13.9" customHeight="1" x14ac:dyDescent="0.55000000000000004">
      <c r="L26" s="19"/>
      <c r="M26" s="11"/>
      <c r="O26" s="19"/>
      <c r="P26" s="9"/>
      <c r="Q26" s="19"/>
      <c r="R26" s="19"/>
      <c r="S26" s="10"/>
      <c r="T26" s="14"/>
      <c r="U26" s="10"/>
    </row>
    <row r="27" spans="2:21" s="5" customFormat="1" ht="13.9" customHeight="1" x14ac:dyDescent="0.55000000000000004">
      <c r="L27" s="19"/>
      <c r="M27" s="11"/>
      <c r="O27" s="19"/>
      <c r="P27" s="9"/>
      <c r="Q27" s="19"/>
      <c r="R27" s="19"/>
      <c r="S27" s="10"/>
      <c r="T27" s="14"/>
      <c r="U27" s="10"/>
    </row>
    <row r="28" spans="2:21" s="5" customFormat="1" ht="13.9" customHeight="1" x14ac:dyDescent="0.55000000000000004">
      <c r="L28" s="19"/>
      <c r="M28" s="11"/>
      <c r="O28" s="19"/>
      <c r="P28" s="9"/>
      <c r="Q28" s="19"/>
      <c r="R28" s="19"/>
      <c r="S28" s="10"/>
      <c r="T28" s="14"/>
      <c r="U28" s="10"/>
    </row>
    <row r="29" spans="2:21" s="5" customFormat="1" ht="13.9" customHeight="1" x14ac:dyDescent="0.55000000000000004">
      <c r="L29" s="19"/>
      <c r="M29" s="11"/>
      <c r="O29" s="19"/>
      <c r="P29" s="9"/>
      <c r="Q29" s="19"/>
      <c r="R29" s="19"/>
      <c r="S29" s="10"/>
      <c r="T29" s="14"/>
      <c r="U29" s="10"/>
    </row>
    <row r="30" spans="2:21" s="5" customFormat="1" x14ac:dyDescent="0.55000000000000004">
      <c r="H30" s="19"/>
      <c r="L30" s="19"/>
      <c r="M30" s="11"/>
      <c r="O30" s="19"/>
      <c r="P30" s="9"/>
      <c r="Q30" s="19"/>
      <c r="R30" s="19"/>
      <c r="S30" s="10"/>
      <c r="T30" s="14"/>
      <c r="U30" s="10"/>
    </row>
    <row r="31" spans="2:21" s="5" customFormat="1" x14ac:dyDescent="0.55000000000000004">
      <c r="H31" s="19"/>
      <c r="L31" s="19"/>
      <c r="M31" s="11"/>
      <c r="O31" s="19"/>
      <c r="P31" s="9"/>
      <c r="Q31" s="19"/>
      <c r="R31" s="19"/>
      <c r="S31" s="10"/>
      <c r="T31" s="14"/>
      <c r="U31" s="10"/>
    </row>
    <row r="32" spans="2:21" s="5" customFormat="1" x14ac:dyDescent="0.55000000000000004">
      <c r="H32" s="19"/>
      <c r="L32" s="19"/>
      <c r="M32" s="11"/>
      <c r="O32" s="19"/>
      <c r="P32" s="9"/>
      <c r="Q32" s="19"/>
      <c r="R32" s="19"/>
      <c r="S32" s="10"/>
      <c r="T32" s="14"/>
      <c r="U32" s="10"/>
    </row>
    <row r="33" spans="2:44" s="5" customFormat="1" x14ac:dyDescent="0.55000000000000004">
      <c r="H33" s="19"/>
      <c r="L33" s="19"/>
      <c r="M33" s="11"/>
      <c r="O33" s="19"/>
      <c r="P33" s="9"/>
      <c r="Q33" s="19"/>
      <c r="R33" s="19"/>
      <c r="S33" s="10"/>
      <c r="T33" s="14"/>
      <c r="U33" s="10"/>
    </row>
    <row r="34" spans="2:44" s="5" customFormat="1" x14ac:dyDescent="0.55000000000000004">
      <c r="H34" s="19"/>
      <c r="L34" s="19"/>
      <c r="M34" s="11"/>
      <c r="O34" s="19"/>
      <c r="P34" s="9"/>
      <c r="Q34" s="19"/>
      <c r="R34" s="19"/>
      <c r="S34" s="10"/>
      <c r="T34" s="14"/>
      <c r="U34" s="10"/>
    </row>
    <row r="35" spans="2:44" s="5" customFormat="1" x14ac:dyDescent="0.55000000000000004">
      <c r="B35" s="16"/>
      <c r="C35" s="19"/>
      <c r="D35" s="19"/>
      <c r="E35" s="15"/>
      <c r="F35" s="17"/>
      <c r="H35" s="19"/>
      <c r="I35" s="9"/>
      <c r="J35" s="19"/>
      <c r="K35" s="19"/>
      <c r="L35" s="19"/>
      <c r="M35" s="11"/>
      <c r="O35" s="19"/>
      <c r="P35" s="9"/>
      <c r="Q35" s="19"/>
      <c r="R35" s="19"/>
      <c r="S35" s="10"/>
      <c r="T35" s="14"/>
      <c r="U35" s="10"/>
    </row>
    <row r="36" spans="2:44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4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9"/>
      <c r="M37" s="10"/>
      <c r="N37" s="19"/>
      <c r="O37" s="11"/>
    </row>
    <row r="38" spans="2:44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9"/>
      <c r="M38" s="10"/>
      <c r="N38" s="19"/>
      <c r="O38" s="11"/>
    </row>
    <row r="39" spans="2:44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9"/>
      <c r="M39" s="10"/>
      <c r="N39" s="19"/>
      <c r="O39" s="11"/>
    </row>
    <row r="40" spans="2:44" s="5" customFormat="1" x14ac:dyDescent="0.55000000000000004">
      <c r="C40" s="8"/>
      <c r="E40" s="8"/>
      <c r="F40" s="18"/>
      <c r="H40" s="19"/>
      <c r="I40" s="19"/>
      <c r="J40" s="19"/>
      <c r="K40" s="19"/>
      <c r="L40" s="19"/>
      <c r="M40" s="6"/>
      <c r="N40" s="19"/>
      <c r="O40" s="19"/>
    </row>
    <row r="41" spans="2:44" s="5" customFormat="1" x14ac:dyDescent="0.55000000000000004">
      <c r="B41" s="8"/>
      <c r="H41" s="19"/>
      <c r="I41" s="19"/>
      <c r="J41" s="19"/>
      <c r="K41" s="19"/>
      <c r="L41" s="19"/>
      <c r="M41" s="6"/>
      <c r="N41" s="19"/>
      <c r="O41" s="19"/>
    </row>
    <row r="42" spans="2:44" x14ac:dyDescent="0.55000000000000004">
      <c r="B42" s="8"/>
      <c r="C42" s="5"/>
      <c r="D42" s="5"/>
      <c r="E42" s="5"/>
      <c r="H42" s="19"/>
    </row>
    <row r="43" spans="2:44" x14ac:dyDescent="0.55000000000000004">
      <c r="B43" s="8"/>
      <c r="C43" s="5"/>
      <c r="D43" s="5"/>
      <c r="E43" s="5"/>
    </row>
    <row r="45" spans="2:44" s="5" customFormat="1" x14ac:dyDescent="0.55000000000000004">
      <c r="H45" s="19"/>
      <c r="I45" s="19"/>
      <c r="J45" s="19"/>
      <c r="K45" s="19"/>
      <c r="L45" s="19"/>
      <c r="M45" s="19"/>
      <c r="N45" s="19"/>
      <c r="O45" s="19"/>
    </row>
    <row r="46" spans="2:44" s="5" customFormat="1" x14ac:dyDescent="0.55000000000000004">
      <c r="B46" s="8"/>
      <c r="H46" s="19"/>
      <c r="I46" s="19"/>
      <c r="J46" s="19"/>
      <c r="K46" s="19"/>
      <c r="L46" s="19"/>
      <c r="M46" s="19"/>
      <c r="N46" s="19"/>
      <c r="O46" s="19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2:44" s="5" customFormat="1" x14ac:dyDescent="0.55000000000000004">
      <c r="B47" s="8"/>
      <c r="H47" s="19"/>
      <c r="I47" s="19"/>
      <c r="J47" s="19"/>
      <c r="K47" s="19"/>
      <c r="L47" s="19"/>
      <c r="M47" s="19"/>
      <c r="N47" s="19"/>
      <c r="O47" s="19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2:44" s="5" customFormat="1" x14ac:dyDescent="0.55000000000000004">
      <c r="B48" s="8"/>
      <c r="H48" s="19"/>
      <c r="I48" s="19"/>
      <c r="J48" s="19"/>
      <c r="K48" s="19"/>
      <c r="L48" s="19"/>
      <c r="M48" s="19"/>
      <c r="N48" s="19"/>
      <c r="O48" s="19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2:44" s="5" customFormat="1" x14ac:dyDescent="0.55000000000000004">
      <c r="B49" s="8"/>
      <c r="H49" s="19"/>
      <c r="I49" s="19"/>
      <c r="J49" s="19"/>
      <c r="K49" s="1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2:44" s="5" customFormat="1" x14ac:dyDescent="0.55000000000000004">
      <c r="B50" s="8"/>
      <c r="H50" s="19"/>
      <c r="I50" s="19"/>
      <c r="J50" s="19"/>
      <c r="K50" s="19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2:44" s="5" customFormat="1" x14ac:dyDescent="0.55000000000000004">
      <c r="B51" s="8"/>
      <c r="H51" s="19"/>
      <c r="I51" s="19"/>
      <c r="J51" s="19"/>
      <c r="K51" s="19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2:44" s="5" customFormat="1" x14ac:dyDescent="0.55000000000000004">
      <c r="B52" s="8"/>
      <c r="H52" s="19"/>
      <c r="I52" s="19"/>
      <c r="J52" s="19"/>
      <c r="K52" s="19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2:44" s="5" customFormat="1" x14ac:dyDescent="0.55000000000000004">
      <c r="B53" s="8"/>
      <c r="H53" s="19"/>
      <c r="I53" s="19"/>
      <c r="J53" s="19"/>
      <c r="K53" s="19"/>
      <c r="AE53" s="1"/>
      <c r="AF53" s="2"/>
      <c r="AG53" s="2"/>
      <c r="AH53"/>
      <c r="AI53"/>
      <c r="AJ53"/>
      <c r="AK53"/>
      <c r="AL53"/>
      <c r="AM53"/>
      <c r="AN53"/>
      <c r="AO53"/>
      <c r="AP53"/>
      <c r="AQ53"/>
      <c r="AR53"/>
    </row>
    <row r="54" spans="2:44" s="5" customFormat="1" x14ac:dyDescent="0.55000000000000004">
      <c r="B54" s="8"/>
      <c r="H54" s="19"/>
      <c r="I54" s="19"/>
      <c r="J54" s="19"/>
      <c r="K54" s="19"/>
      <c r="AE54" s="1"/>
      <c r="AF54" s="2"/>
      <c r="AG54" s="2"/>
      <c r="AH54"/>
      <c r="AI54"/>
      <c r="AJ54"/>
      <c r="AK54"/>
      <c r="AL54"/>
      <c r="AM54"/>
      <c r="AN54"/>
      <c r="AO54"/>
      <c r="AP54"/>
      <c r="AQ54"/>
      <c r="AR54"/>
    </row>
    <row r="55" spans="2:44" s="5" customFormat="1" x14ac:dyDescent="0.55000000000000004">
      <c r="B55" s="8"/>
      <c r="H55" s="19"/>
      <c r="I55" s="19"/>
      <c r="J55" s="19"/>
      <c r="K55" s="19"/>
      <c r="AE55" s="1"/>
      <c r="AF55" s="3"/>
      <c r="AG55" s="3"/>
      <c r="AH55"/>
      <c r="AI55" s="4"/>
      <c r="AJ55" s="4"/>
      <c r="AK55" s="1"/>
      <c r="AL55" s="1"/>
      <c r="AM55"/>
      <c r="AN55"/>
      <c r="AO55"/>
      <c r="AP55"/>
      <c r="AQ55"/>
      <c r="AR55"/>
    </row>
    <row r="56" spans="2:44" s="5" customFormat="1" x14ac:dyDescent="0.55000000000000004">
      <c r="B56" s="8"/>
      <c r="H56" s="19"/>
      <c r="I56" s="19"/>
      <c r="J56" s="19"/>
      <c r="K56" s="19"/>
      <c r="AE56" s="1"/>
      <c r="AF56" s="3"/>
      <c r="AG56" s="3"/>
      <c r="AH56"/>
      <c r="AI56" s="4"/>
      <c r="AJ56" s="4"/>
      <c r="AK56" s="1"/>
      <c r="AL56" s="1"/>
      <c r="AM56"/>
      <c r="AN56"/>
      <c r="AO56"/>
      <c r="AP56"/>
      <c r="AQ56"/>
      <c r="AR56"/>
    </row>
    <row r="57" spans="2:44" s="5" customFormat="1" x14ac:dyDescent="0.55000000000000004">
      <c r="B57" s="8"/>
      <c r="H57" s="19"/>
      <c r="I57" s="19"/>
      <c r="J57" s="19"/>
      <c r="K57" s="19"/>
      <c r="AE57" s="1"/>
      <c r="AF57" s="3"/>
      <c r="AG57" s="3"/>
      <c r="AH57"/>
      <c r="AI57" s="4"/>
      <c r="AJ57" s="4"/>
      <c r="AK57" s="1"/>
      <c r="AL57" s="1"/>
      <c r="AM57"/>
      <c r="AN57"/>
      <c r="AO57"/>
      <c r="AP57"/>
      <c r="AQ57"/>
      <c r="AR57"/>
    </row>
    <row r="58" spans="2:44" s="5" customFormat="1" x14ac:dyDescent="0.55000000000000004">
      <c r="B58" s="8"/>
      <c r="H58" s="19"/>
      <c r="I58" s="19"/>
      <c r="J58" s="19"/>
      <c r="K58" s="19"/>
      <c r="AE58" s="1"/>
      <c r="AF58" s="3"/>
      <c r="AG58" s="3"/>
      <c r="AH58"/>
      <c r="AI58" s="4"/>
      <c r="AJ58" s="4"/>
      <c r="AK58" s="1"/>
      <c r="AL58" s="1"/>
      <c r="AM58"/>
      <c r="AN58"/>
      <c r="AO58"/>
      <c r="AP58"/>
      <c r="AQ58"/>
      <c r="AR58"/>
    </row>
    <row r="59" spans="2:44" s="5" customFormat="1" x14ac:dyDescent="0.55000000000000004">
      <c r="B59" s="8"/>
      <c r="H59" s="19"/>
      <c r="I59" s="19"/>
      <c r="J59" s="19"/>
      <c r="K59" s="19"/>
      <c r="AE59" s="1"/>
      <c r="AF59" s="3"/>
      <c r="AG59" s="3"/>
      <c r="AH59"/>
      <c r="AI59" s="4"/>
      <c r="AJ59" s="4"/>
      <c r="AK59" s="1"/>
      <c r="AL59" s="1"/>
      <c r="AM59"/>
      <c r="AN59"/>
      <c r="AO59"/>
      <c r="AP59"/>
      <c r="AQ59"/>
      <c r="AR59"/>
    </row>
    <row r="60" spans="2:44" s="5" customFormat="1" x14ac:dyDescent="0.55000000000000004">
      <c r="B60" s="8"/>
      <c r="H60" s="19"/>
      <c r="I60" s="19"/>
      <c r="J60" s="19"/>
      <c r="K60" s="19"/>
      <c r="AE60" s="1"/>
      <c r="AF60" s="3"/>
      <c r="AG60" s="3"/>
      <c r="AH60"/>
      <c r="AI60" s="4"/>
      <c r="AJ60" s="4"/>
      <c r="AK60" s="1"/>
      <c r="AL60" s="1"/>
      <c r="AM60"/>
      <c r="AN60"/>
      <c r="AO60"/>
      <c r="AP60"/>
      <c r="AQ60"/>
      <c r="AR60"/>
    </row>
    <row r="61" spans="2:44" s="5" customFormat="1" x14ac:dyDescent="0.55000000000000004">
      <c r="B61" s="8"/>
      <c r="H61" s="19"/>
      <c r="I61" s="19"/>
      <c r="J61" s="19"/>
      <c r="K61" s="19"/>
      <c r="AE61" s="1"/>
      <c r="AF61" s="2"/>
      <c r="AG61" s="2"/>
      <c r="AH61"/>
      <c r="AI61"/>
      <c r="AJ61"/>
      <c r="AK61"/>
      <c r="AL61"/>
      <c r="AM61"/>
      <c r="AN61"/>
      <c r="AO61"/>
      <c r="AP61"/>
      <c r="AQ61"/>
      <c r="AR61"/>
    </row>
    <row r="62" spans="2:44" s="5" customFormat="1" x14ac:dyDescent="0.55000000000000004">
      <c r="B62" s="8"/>
      <c r="H62" s="19"/>
      <c r="I62" s="19"/>
      <c r="J62" s="19"/>
      <c r="K62" s="19"/>
      <c r="AE62" s="1"/>
      <c r="AF62" s="2"/>
      <c r="AG62" s="2"/>
      <c r="AH62"/>
      <c r="AI62"/>
      <c r="AJ62"/>
      <c r="AK62"/>
      <c r="AL62"/>
      <c r="AM62"/>
      <c r="AN62"/>
      <c r="AO62"/>
      <c r="AP62"/>
      <c r="AQ62"/>
      <c r="AR62"/>
    </row>
    <row r="63" spans="2:44" x14ac:dyDescent="0.55000000000000004">
      <c r="L63"/>
      <c r="M63"/>
      <c r="N63"/>
      <c r="O63"/>
    </row>
    <row r="64" spans="2:44" x14ac:dyDescent="0.55000000000000004">
      <c r="L64"/>
      <c r="M64"/>
      <c r="N64"/>
      <c r="O64"/>
    </row>
    <row r="65" spans="12:15" x14ac:dyDescent="0.55000000000000004">
      <c r="L65"/>
      <c r="M65"/>
      <c r="N65"/>
      <c r="O65"/>
    </row>
  </sheetData>
  <mergeCells count="4">
    <mergeCell ref="F2:J2"/>
    <mergeCell ref="F4:F5"/>
    <mergeCell ref="G4:G5"/>
    <mergeCell ref="N11:O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2689-82A9-4FB3-9987-2FB969038D80}">
  <dimension ref="A1:AT56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29.9453125" bestFit="1" customWidth="1"/>
    <col min="8" max="8" width="12.734375" style="7" customWidth="1"/>
    <col min="9" max="9" width="16.05078125" style="7" customWidth="1"/>
    <col min="10" max="10" width="8.41796875" style="7" customWidth="1"/>
    <col min="11" max="11" width="8.734375" style="7" customWidth="1"/>
    <col min="12" max="12" width="8.41796875" style="7" customWidth="1"/>
    <col min="13" max="13" width="20.68359375" style="7" customWidth="1"/>
    <col min="14" max="14" width="14.05078125" style="7" customWidth="1"/>
    <col min="15" max="15" width="13.5234375" style="7" customWidth="1"/>
    <col min="16" max="16" width="9.734375" style="7" customWidth="1"/>
    <col min="17" max="17" width="12.68359375" style="7" customWidth="1"/>
    <col min="21" max="21" width="18" customWidth="1"/>
    <col min="22" max="23" width="15.734375" customWidth="1"/>
    <col min="24" max="24" width="14.7890625" customWidth="1"/>
  </cols>
  <sheetData>
    <row r="1" spans="1:17" s="5" customFormat="1" x14ac:dyDescent="0.55000000000000004">
      <c r="A1" s="5" t="s">
        <v>220</v>
      </c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s="5" customFormat="1" x14ac:dyDescent="0.55000000000000004">
      <c r="B2" s="8"/>
      <c r="F2" s="36" t="s">
        <v>155</v>
      </c>
      <c r="G2" s="36"/>
      <c r="H2" s="36"/>
      <c r="I2" s="36"/>
      <c r="J2" s="36"/>
      <c r="K2" s="19"/>
      <c r="L2" s="19"/>
      <c r="M2" s="19"/>
      <c r="N2" s="19"/>
      <c r="O2" s="19"/>
      <c r="P2" s="19"/>
      <c r="Q2" s="19"/>
    </row>
    <row r="3" spans="1:17" s="5" customFormat="1" x14ac:dyDescent="0.55000000000000004">
      <c r="B3" s="8" t="s">
        <v>0</v>
      </c>
      <c r="C3" s="5" t="s">
        <v>216</v>
      </c>
      <c r="F3" s="16"/>
      <c r="G3" s="22"/>
      <c r="H3" s="22"/>
      <c r="I3" s="22"/>
      <c r="J3" s="22"/>
      <c r="N3" s="19"/>
      <c r="O3" s="19"/>
      <c r="P3" s="19"/>
      <c r="Q3" s="19"/>
    </row>
    <row r="4" spans="1:17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  <c r="N4" s="19"/>
      <c r="O4" s="19"/>
      <c r="P4" s="19"/>
      <c r="Q4" s="19"/>
    </row>
    <row r="5" spans="1:17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  <c r="N5" s="19"/>
      <c r="O5" s="19"/>
      <c r="P5" s="19"/>
      <c r="Q5" s="19"/>
    </row>
    <row r="6" spans="1:17" s="5" customFormat="1" x14ac:dyDescent="0.55000000000000004">
      <c r="B6" s="8" t="s">
        <v>2</v>
      </c>
      <c r="C6" s="5">
        <v>1</v>
      </c>
      <c r="F6" t="s">
        <v>198</v>
      </c>
      <c r="G6" s="24">
        <v>43</v>
      </c>
      <c r="H6">
        <v>5</v>
      </c>
      <c r="I6">
        <v>2.5000000000000001E-2</v>
      </c>
      <c r="J6" s="33">
        <v>9.6297827206108071</v>
      </c>
      <c r="K6" s="5">
        <f>(J6*(H6+I6)/I6)/39.098</f>
        <v>49.506018897201194</v>
      </c>
      <c r="L6" s="23"/>
      <c r="N6" s="19"/>
      <c r="O6" s="19"/>
      <c r="P6" s="19"/>
      <c r="Q6" s="19"/>
    </row>
    <row r="7" spans="1:17" s="5" customFormat="1" x14ac:dyDescent="0.55000000000000004">
      <c r="B7" s="8" t="s">
        <v>3</v>
      </c>
      <c r="C7" s="5" t="s">
        <v>26</v>
      </c>
      <c r="F7" t="s">
        <v>199</v>
      </c>
      <c r="G7" s="25">
        <v>44</v>
      </c>
      <c r="H7">
        <v>5</v>
      </c>
      <c r="I7">
        <v>1.2E-2</v>
      </c>
      <c r="J7" s="34">
        <v>9.2658032550072331</v>
      </c>
      <c r="K7" s="5">
        <f t="shared" ref="K7:K19" si="0">(J7*(H7+I7)/I7)/39.098</f>
        <v>98.982484001944357</v>
      </c>
      <c r="L7" s="23"/>
      <c r="N7" s="19"/>
      <c r="O7" s="19"/>
      <c r="P7" s="19"/>
      <c r="Q7" s="19"/>
    </row>
    <row r="8" spans="1:17" s="5" customFormat="1" x14ac:dyDescent="0.55000000000000004">
      <c r="B8" s="8" t="s">
        <v>4</v>
      </c>
      <c r="C8" s="5">
        <v>50</v>
      </c>
      <c r="D8" s="5" t="s">
        <v>5</v>
      </c>
      <c r="F8" t="s">
        <v>200</v>
      </c>
      <c r="G8" s="24">
        <v>45</v>
      </c>
      <c r="H8">
        <v>5</v>
      </c>
      <c r="I8">
        <v>2.5000000000000001E-2</v>
      </c>
      <c r="J8" s="33">
        <v>14.304724383992605</v>
      </c>
      <c r="K8" s="5">
        <f t="shared" si="0"/>
        <v>73.539557040833643</v>
      </c>
      <c r="L8" s="23"/>
      <c r="N8" s="19"/>
      <c r="O8" s="19"/>
      <c r="P8" s="19"/>
      <c r="Q8" s="19"/>
    </row>
    <row r="9" spans="1:17" s="5" customFormat="1" x14ac:dyDescent="0.55000000000000004">
      <c r="B9" s="8" t="s">
        <v>6</v>
      </c>
      <c r="C9" s="5">
        <v>100</v>
      </c>
      <c r="D9" s="5" t="s">
        <v>5</v>
      </c>
      <c r="F9" t="s">
        <v>201</v>
      </c>
      <c r="G9" s="25">
        <v>46</v>
      </c>
      <c r="H9">
        <v>5</v>
      </c>
      <c r="I9">
        <v>2.5000000000000001E-2</v>
      </c>
      <c r="J9" s="34">
        <v>19.706256699867875</v>
      </c>
      <c r="K9" s="5">
        <f t="shared" si="0"/>
        <v>101.30844535969726</v>
      </c>
      <c r="L9" s="23"/>
      <c r="N9" s="19"/>
      <c r="O9" s="19"/>
      <c r="P9" s="19"/>
      <c r="Q9" s="19"/>
    </row>
    <row r="10" spans="1:17" s="5" customFormat="1" x14ac:dyDescent="0.55000000000000004">
      <c r="B10" s="8"/>
      <c r="F10" t="s">
        <v>202</v>
      </c>
      <c r="G10" s="24">
        <v>47</v>
      </c>
      <c r="H10">
        <v>5</v>
      </c>
      <c r="I10">
        <v>2.5000000000000001E-2</v>
      </c>
      <c r="J10" s="33">
        <v>6.223191064480825</v>
      </c>
      <c r="K10" s="5">
        <f t="shared" si="0"/>
        <v>31.992976724145635</v>
      </c>
      <c r="L10" s="23"/>
      <c r="N10" s="19"/>
      <c r="O10" s="19"/>
      <c r="P10" s="19"/>
      <c r="Q10" s="19"/>
    </row>
    <row r="11" spans="1:17" s="5" customFormat="1" x14ac:dyDescent="0.55000000000000004">
      <c r="B11" s="8" t="s">
        <v>8</v>
      </c>
      <c r="C11" s="5">
        <v>32.24</v>
      </c>
      <c r="D11" s="5" t="s">
        <v>9</v>
      </c>
      <c r="F11" t="s">
        <v>203</v>
      </c>
      <c r="G11" s="25">
        <v>48</v>
      </c>
      <c r="H11">
        <v>5</v>
      </c>
      <c r="I11">
        <v>2.5000000000000001E-2</v>
      </c>
      <c r="J11" s="34">
        <v>7.6995166878033805</v>
      </c>
      <c r="K11" s="5">
        <f t="shared" si="0"/>
        <v>39.582660347037688</v>
      </c>
      <c r="L11" s="23"/>
      <c r="N11" s="19"/>
      <c r="O11" s="19"/>
      <c r="P11" s="38"/>
      <c r="Q11" s="38"/>
    </row>
    <row r="12" spans="1:17" s="5" customFormat="1" x14ac:dyDescent="0.55000000000000004">
      <c r="B12" s="8" t="s">
        <v>10</v>
      </c>
      <c r="C12" s="5">
        <v>42.43</v>
      </c>
      <c r="D12" s="5" t="s">
        <v>9</v>
      </c>
      <c r="F12" t="s">
        <v>204</v>
      </c>
      <c r="G12" s="24">
        <v>49</v>
      </c>
      <c r="H12">
        <v>5</v>
      </c>
      <c r="I12">
        <v>2.5000000000000001E-2</v>
      </c>
      <c r="J12" s="33">
        <v>8.7967201293124297</v>
      </c>
      <c r="K12" s="5">
        <f t="shared" si="0"/>
        <v>45.223304158570734</v>
      </c>
      <c r="L12" s="23"/>
      <c r="N12" s="19"/>
      <c r="O12" s="19"/>
      <c r="P12" s="19"/>
      <c r="Q12" s="19"/>
    </row>
    <row r="13" spans="1:17" s="5" customFormat="1" x14ac:dyDescent="0.55000000000000004">
      <c r="B13" s="8" t="s">
        <v>11</v>
      </c>
      <c r="C13" s="5">
        <v>42.63</v>
      </c>
      <c r="D13" s="5" t="s">
        <v>9</v>
      </c>
      <c r="F13" t="s">
        <v>205</v>
      </c>
      <c r="G13" s="25">
        <v>50</v>
      </c>
      <c r="H13">
        <v>5</v>
      </c>
      <c r="I13">
        <v>2.5000000000000001E-2</v>
      </c>
      <c r="J13" s="34">
        <v>9.4949675948885979</v>
      </c>
      <c r="K13" s="5">
        <f t="shared" si="0"/>
        <v>48.812944052703671</v>
      </c>
      <c r="L13" s="23"/>
      <c r="N13" s="19"/>
      <c r="O13" s="19"/>
      <c r="P13" s="19"/>
      <c r="Q13" s="19"/>
    </row>
    <row r="14" spans="1:17" s="5" customFormat="1" x14ac:dyDescent="0.55000000000000004">
      <c r="B14" s="8"/>
      <c r="F14" t="s">
        <v>206</v>
      </c>
      <c r="G14" s="24">
        <v>51</v>
      </c>
      <c r="H14">
        <v>5</v>
      </c>
      <c r="I14">
        <v>2.5000000000000001E-2</v>
      </c>
      <c r="J14" s="33">
        <v>10.354059248535927</v>
      </c>
      <c r="K14" s="5">
        <f t="shared" si="0"/>
        <v>53.229472324817678</v>
      </c>
      <c r="L14" s="23"/>
      <c r="N14" s="19"/>
      <c r="O14" s="19"/>
      <c r="P14" s="19"/>
      <c r="Q14" s="19"/>
    </row>
    <row r="15" spans="1:17" s="5" customFormat="1" x14ac:dyDescent="0.55000000000000004">
      <c r="B15" s="8" t="s">
        <v>12</v>
      </c>
      <c r="C15" s="5">
        <v>15.198</v>
      </c>
      <c r="D15" s="5" t="s">
        <v>13</v>
      </c>
      <c r="F15" t="s">
        <v>207</v>
      </c>
      <c r="G15" s="25">
        <v>52</v>
      </c>
      <c r="H15">
        <v>5</v>
      </c>
      <c r="I15">
        <v>2.5000000000000001E-2</v>
      </c>
      <c r="J15" s="34">
        <v>11.256393732082264</v>
      </c>
      <c r="K15" s="5">
        <f t="shared" si="0"/>
        <v>57.86830886870262</v>
      </c>
      <c r="L15" s="23"/>
      <c r="N15" s="19"/>
      <c r="O15" s="19"/>
      <c r="P15" s="19"/>
      <c r="Q15" s="19"/>
    </row>
    <row r="16" spans="1:17" s="5" customFormat="1" x14ac:dyDescent="0.55000000000000004">
      <c r="B16" s="8" t="s">
        <v>14</v>
      </c>
      <c r="C16" s="5">
        <v>59.862000000000002</v>
      </c>
      <c r="D16" s="5" t="s">
        <v>13</v>
      </c>
      <c r="F16" t="s">
        <v>208</v>
      </c>
      <c r="G16" s="24">
        <v>53</v>
      </c>
      <c r="H16">
        <v>5</v>
      </c>
      <c r="I16">
        <v>2.5000000000000001E-2</v>
      </c>
      <c r="J16" s="33">
        <v>11.9622655283766</v>
      </c>
      <c r="K16" s="5">
        <f t="shared" si="0"/>
        <v>61.497144897531754</v>
      </c>
      <c r="L16" s="23"/>
      <c r="N16" s="19"/>
      <c r="O16" s="19"/>
      <c r="P16" s="19"/>
      <c r="Q16" s="19"/>
    </row>
    <row r="17" spans="2:23" s="5" customFormat="1" x14ac:dyDescent="0.55000000000000004">
      <c r="B17" s="8"/>
      <c r="F17" t="s">
        <v>209</v>
      </c>
      <c r="G17" s="25">
        <v>54</v>
      </c>
      <c r="H17">
        <v>5</v>
      </c>
      <c r="I17">
        <v>2.5000000000000001E-2</v>
      </c>
      <c r="J17" s="34">
        <v>12.556412979838774</v>
      </c>
      <c r="K17" s="5">
        <f t="shared" si="0"/>
        <v>64.551614122144187</v>
      </c>
      <c r="L17" s="23"/>
      <c r="N17" s="19"/>
      <c r="O17" s="19"/>
      <c r="P17" s="19"/>
      <c r="Q17" s="19"/>
    </row>
    <row r="18" spans="2:23" s="5" customFormat="1" ht="13.9" customHeight="1" x14ac:dyDescent="0.55000000000000004">
      <c r="B18" s="21" t="s">
        <v>19</v>
      </c>
      <c r="C18" s="16">
        <v>2.72</v>
      </c>
      <c r="D18" s="9" t="s">
        <v>9</v>
      </c>
      <c r="F18" t="s">
        <v>210</v>
      </c>
      <c r="G18" s="24">
        <v>55</v>
      </c>
      <c r="H18">
        <v>5</v>
      </c>
      <c r="I18">
        <v>2.5000000000000001E-2</v>
      </c>
      <c r="J18" s="33">
        <v>13.146689652565422</v>
      </c>
      <c r="K18" s="5">
        <f t="shared" si="0"/>
        <v>67.586183952264818</v>
      </c>
      <c r="L18" s="23"/>
      <c r="M18" s="19"/>
      <c r="N18" s="19"/>
      <c r="O18" s="19"/>
      <c r="P18" s="19"/>
      <c r="Q18" s="19"/>
    </row>
    <row r="19" spans="2:23" s="12" customFormat="1" ht="13.9" customHeight="1" x14ac:dyDescent="0.55000000000000004">
      <c r="B19" s="21" t="s">
        <v>20</v>
      </c>
      <c r="C19" s="16">
        <v>3.42</v>
      </c>
      <c r="D19" s="9" t="s">
        <v>9</v>
      </c>
      <c r="F19" t="s">
        <v>211</v>
      </c>
      <c r="G19" s="25">
        <v>56</v>
      </c>
      <c r="H19">
        <v>5</v>
      </c>
      <c r="I19">
        <v>2.5000000000000001E-2</v>
      </c>
      <c r="J19" s="34">
        <v>13.877168260148478</v>
      </c>
      <c r="K19" s="5">
        <f t="shared" si="0"/>
        <v>71.341521824386007</v>
      </c>
      <c r="L19" s="23"/>
    </row>
    <row r="20" spans="2:23" s="5" customFormat="1" ht="13.9" customHeight="1" x14ac:dyDescent="0.55000000000000004">
      <c r="L20"/>
      <c r="M20" s="12"/>
      <c r="N20" s="13"/>
      <c r="O20" s="13"/>
      <c r="Q20" s="19"/>
      <c r="R20" s="19"/>
      <c r="S20" s="19"/>
      <c r="T20" s="19"/>
      <c r="V20" s="19"/>
      <c r="W20" s="19"/>
    </row>
    <row r="21" spans="2:23" s="5" customFormat="1" x14ac:dyDescent="0.55000000000000004">
      <c r="H21" s="19"/>
      <c r="N21" s="19"/>
      <c r="O21" s="11"/>
      <c r="Q21" s="19"/>
      <c r="R21" s="9"/>
      <c r="S21" s="19"/>
      <c r="T21" s="19"/>
      <c r="U21" s="10"/>
      <c r="V21" s="14"/>
      <c r="W21" s="10"/>
    </row>
    <row r="22" spans="2:23" s="5" customFormat="1" x14ac:dyDescent="0.55000000000000004">
      <c r="H22" s="19"/>
      <c r="N22" s="19"/>
      <c r="O22" s="11"/>
      <c r="Q22" s="19"/>
      <c r="R22" s="9"/>
      <c r="S22" s="19"/>
      <c r="T22" s="19"/>
      <c r="U22" s="10"/>
      <c r="V22" s="14"/>
      <c r="W22" s="10"/>
    </row>
    <row r="23" spans="2:23" s="5" customFormat="1" x14ac:dyDescent="0.55000000000000004">
      <c r="H23" s="19"/>
      <c r="N23" s="19"/>
      <c r="O23" s="11"/>
      <c r="Q23" s="19"/>
      <c r="R23" s="9"/>
      <c r="S23" s="19"/>
      <c r="T23" s="19"/>
      <c r="U23" s="10"/>
      <c r="V23" s="14"/>
      <c r="W23" s="10"/>
    </row>
    <row r="24" spans="2:23" s="5" customFormat="1" x14ac:dyDescent="0.55000000000000004">
      <c r="H24" s="19"/>
      <c r="N24" s="19"/>
      <c r="O24" s="11"/>
      <c r="Q24" s="19"/>
      <c r="R24" s="9"/>
      <c r="S24" s="19"/>
      <c r="T24" s="19"/>
      <c r="U24" s="10"/>
      <c r="V24" s="14"/>
      <c r="W24" s="10"/>
    </row>
    <row r="25" spans="2:23" s="5" customFormat="1" x14ac:dyDescent="0.55000000000000004">
      <c r="H25" s="19"/>
      <c r="N25" s="19"/>
      <c r="O25" s="11"/>
      <c r="Q25" s="19"/>
      <c r="R25" s="9"/>
      <c r="S25" s="19"/>
      <c r="T25" s="19"/>
      <c r="U25" s="10"/>
      <c r="V25" s="14"/>
      <c r="W25" s="10"/>
    </row>
    <row r="26" spans="2:23" s="5" customFormat="1" x14ac:dyDescent="0.55000000000000004">
      <c r="B26" s="16"/>
      <c r="C26" s="19"/>
      <c r="D26" s="19"/>
      <c r="E26" s="15"/>
      <c r="F26" s="17"/>
      <c r="H26" s="19"/>
      <c r="I26" s="9"/>
      <c r="J26" s="19"/>
      <c r="K26" s="19"/>
      <c r="L26" s="10"/>
      <c r="M26" s="10"/>
      <c r="N26" s="19"/>
      <c r="O26" s="11"/>
      <c r="Q26" s="19"/>
      <c r="R26" s="9"/>
      <c r="S26" s="19"/>
      <c r="T26" s="19"/>
      <c r="U26" s="10"/>
      <c r="V26" s="14"/>
      <c r="W26" s="10"/>
    </row>
    <row r="27" spans="2:23" s="5" customFormat="1" x14ac:dyDescent="0.55000000000000004">
      <c r="B27" s="16"/>
      <c r="C27" s="19"/>
      <c r="D27" s="19"/>
      <c r="E27" s="15"/>
      <c r="F27" s="17"/>
      <c r="H27" s="19"/>
      <c r="I27" s="11"/>
    </row>
    <row r="28" spans="2:23" s="5" customFormat="1" x14ac:dyDescent="0.55000000000000004">
      <c r="B28" s="16"/>
      <c r="C28" s="19"/>
      <c r="D28" s="19"/>
      <c r="E28" s="15"/>
      <c r="F28" s="17"/>
      <c r="H28" s="19"/>
      <c r="I28" s="9"/>
      <c r="J28" s="19"/>
      <c r="K28" s="19"/>
      <c r="L28" s="19"/>
      <c r="M28" s="19"/>
      <c r="N28" s="9"/>
      <c r="O28" s="10"/>
      <c r="P28" s="19"/>
      <c r="Q28" s="11"/>
    </row>
    <row r="29" spans="2:23" s="5" customFormat="1" x14ac:dyDescent="0.55000000000000004">
      <c r="B29" s="16"/>
      <c r="C29" s="19"/>
      <c r="D29" s="19"/>
      <c r="E29" s="15"/>
      <c r="F29" s="17"/>
      <c r="I29" s="9"/>
      <c r="J29" s="19"/>
      <c r="K29" s="19"/>
      <c r="L29" s="19"/>
      <c r="M29" s="19"/>
      <c r="N29" s="9"/>
      <c r="O29" s="10"/>
      <c r="P29" s="19"/>
      <c r="Q29" s="11"/>
    </row>
    <row r="30" spans="2:23" s="5" customFormat="1" x14ac:dyDescent="0.55000000000000004">
      <c r="B30" s="19"/>
      <c r="C30" s="19"/>
      <c r="D30" s="19"/>
      <c r="E30" s="19"/>
      <c r="F30" s="15"/>
      <c r="I30" s="9"/>
      <c r="J30" s="19"/>
      <c r="K30" s="19"/>
      <c r="L30" s="19"/>
      <c r="M30" s="19"/>
      <c r="N30" s="9"/>
      <c r="O30" s="10"/>
      <c r="P30" s="19"/>
      <c r="Q30" s="11"/>
    </row>
    <row r="31" spans="2:23" s="5" customFormat="1" x14ac:dyDescent="0.55000000000000004">
      <c r="C31" s="8"/>
      <c r="E31" s="8"/>
      <c r="F31" s="18"/>
      <c r="H31" s="19"/>
      <c r="I31" s="19"/>
      <c r="J31" s="19"/>
      <c r="K31" s="19"/>
      <c r="L31" s="19"/>
      <c r="M31" s="19"/>
      <c r="N31" s="19"/>
      <c r="O31" s="6"/>
      <c r="P31" s="19"/>
      <c r="Q31" s="19"/>
    </row>
    <row r="32" spans="2:23" s="5" customFormat="1" x14ac:dyDescent="0.55000000000000004">
      <c r="B32" s="8"/>
      <c r="H32" s="19"/>
      <c r="I32" s="19"/>
      <c r="J32" s="19"/>
      <c r="K32" s="19"/>
      <c r="L32" s="19"/>
      <c r="M32" s="19"/>
      <c r="N32" s="19"/>
      <c r="O32" s="6"/>
      <c r="P32" s="19"/>
      <c r="Q32" s="19"/>
    </row>
    <row r="33" spans="2:46" x14ac:dyDescent="0.55000000000000004">
      <c r="B33" s="8"/>
      <c r="C33" s="5"/>
      <c r="D33" s="5"/>
      <c r="E33" s="5"/>
      <c r="H33" s="19"/>
    </row>
    <row r="34" spans="2:46" x14ac:dyDescent="0.55000000000000004">
      <c r="B34" s="8"/>
      <c r="C34" s="5"/>
      <c r="D34" s="5"/>
      <c r="E34" s="5"/>
    </row>
    <row r="36" spans="2:46" s="5" customFormat="1" x14ac:dyDescent="0.55000000000000004"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2:46" s="5" customFormat="1" x14ac:dyDescent="0.55000000000000004">
      <c r="B37" s="8"/>
      <c r="H37" s="19"/>
      <c r="I37" s="19"/>
      <c r="J37" s="19"/>
      <c r="K37" s="19"/>
      <c r="L37" s="19"/>
      <c r="M37" s="19"/>
      <c r="N37" s="19"/>
      <c r="O37" s="19"/>
      <c r="P37" s="19"/>
      <c r="Q37" s="19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  <row r="38" spans="2:46" s="5" customFormat="1" x14ac:dyDescent="0.55000000000000004">
      <c r="B38" s="8"/>
      <c r="H38" s="19"/>
      <c r="I38" s="19"/>
      <c r="J38" s="19"/>
      <c r="K38" s="19"/>
      <c r="L38" s="19"/>
      <c r="M38" s="19"/>
      <c r="N38" s="19"/>
      <c r="O38" s="19"/>
      <c r="P38" s="19"/>
      <c r="Q38" s="19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 spans="2:46" s="5" customFormat="1" x14ac:dyDescent="0.55000000000000004">
      <c r="B39" s="8"/>
      <c r="H39" s="19"/>
      <c r="I39" s="19"/>
      <c r="J39" s="19"/>
      <c r="K39" s="19"/>
      <c r="L39" s="19"/>
      <c r="M39" s="19"/>
      <c r="N39" s="19"/>
      <c r="O39" s="19"/>
      <c r="P39" s="19"/>
      <c r="Q39" s="1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</row>
    <row r="40" spans="2:46" s="5" customFormat="1" x14ac:dyDescent="0.55000000000000004">
      <c r="B40" s="8"/>
      <c r="H40" s="19"/>
      <c r="I40" s="19"/>
      <c r="J40" s="19"/>
      <c r="K40" s="19"/>
      <c r="L40" s="19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 spans="2:46" s="5" customFormat="1" x14ac:dyDescent="0.55000000000000004">
      <c r="B41" s="8"/>
      <c r="H41" s="19"/>
      <c r="I41" s="19"/>
      <c r="J41" s="19"/>
      <c r="K41" s="19"/>
      <c r="L41" s="19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 spans="2:46" s="5" customFormat="1" x14ac:dyDescent="0.55000000000000004">
      <c r="B42" s="8"/>
      <c r="H42" s="19"/>
      <c r="I42" s="19"/>
      <c r="J42" s="19"/>
      <c r="K42" s="19"/>
      <c r="L42" s="19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 spans="2:46" s="5" customFormat="1" x14ac:dyDescent="0.55000000000000004">
      <c r="B43" s="8"/>
      <c r="H43" s="19"/>
      <c r="I43" s="19"/>
      <c r="J43" s="19"/>
      <c r="K43" s="19"/>
      <c r="L43" s="19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 spans="2:46" s="5" customFormat="1" x14ac:dyDescent="0.55000000000000004">
      <c r="B44" s="8"/>
      <c r="H44" s="19"/>
      <c r="I44" s="19"/>
      <c r="J44" s="19"/>
      <c r="K44" s="19"/>
      <c r="L44" s="19"/>
      <c r="AG44" s="1"/>
      <c r="AH44" s="2"/>
      <c r="AI44" s="2"/>
      <c r="AJ44"/>
      <c r="AK44"/>
      <c r="AL44"/>
      <c r="AM44"/>
      <c r="AN44"/>
      <c r="AO44"/>
      <c r="AP44"/>
      <c r="AQ44"/>
      <c r="AR44"/>
      <c r="AS44"/>
      <c r="AT44"/>
    </row>
    <row r="45" spans="2:46" s="5" customFormat="1" x14ac:dyDescent="0.55000000000000004">
      <c r="B45" s="8"/>
      <c r="H45" s="19"/>
      <c r="I45" s="19"/>
      <c r="J45" s="19"/>
      <c r="K45" s="19"/>
      <c r="L45" s="19"/>
      <c r="AG45" s="1"/>
      <c r="AH45" s="2"/>
      <c r="AI45" s="2"/>
      <c r="AJ45"/>
      <c r="AK45"/>
      <c r="AL45"/>
      <c r="AM45"/>
      <c r="AN45"/>
      <c r="AO45"/>
      <c r="AP45"/>
      <c r="AQ45"/>
      <c r="AR45"/>
      <c r="AS45"/>
      <c r="AT45"/>
    </row>
    <row r="46" spans="2:46" s="5" customFormat="1" x14ac:dyDescent="0.55000000000000004">
      <c r="B46" s="8"/>
      <c r="H46" s="19"/>
      <c r="I46" s="19"/>
      <c r="J46" s="19"/>
      <c r="K46" s="19"/>
      <c r="L46" s="19"/>
      <c r="AG46" s="1"/>
      <c r="AH46" s="3"/>
      <c r="AI46" s="3"/>
      <c r="AJ46"/>
      <c r="AK46" s="4"/>
      <c r="AL46" s="4"/>
      <c r="AM46" s="1"/>
      <c r="AN46" s="1"/>
      <c r="AO46"/>
      <c r="AP46"/>
      <c r="AQ46"/>
      <c r="AR46"/>
      <c r="AS46"/>
      <c r="AT46"/>
    </row>
    <row r="47" spans="2:46" s="5" customFormat="1" x14ac:dyDescent="0.55000000000000004">
      <c r="B47" s="8"/>
      <c r="H47" s="19"/>
      <c r="I47" s="19"/>
      <c r="J47" s="19"/>
      <c r="K47" s="19"/>
      <c r="L47" s="19"/>
      <c r="AG47" s="1"/>
      <c r="AH47" s="3"/>
      <c r="AI47" s="3"/>
      <c r="AJ47"/>
      <c r="AK47" s="4"/>
      <c r="AL47" s="4"/>
      <c r="AM47" s="1"/>
      <c r="AN47" s="1"/>
      <c r="AO47"/>
      <c r="AP47"/>
      <c r="AQ47"/>
      <c r="AR47"/>
      <c r="AS47"/>
      <c r="AT47"/>
    </row>
    <row r="48" spans="2:46" s="5" customFormat="1" x14ac:dyDescent="0.55000000000000004">
      <c r="B48" s="8"/>
      <c r="H48" s="19"/>
      <c r="I48" s="19"/>
      <c r="J48" s="19"/>
      <c r="K48" s="19"/>
      <c r="L48" s="19"/>
      <c r="AG48" s="1"/>
      <c r="AH48" s="3"/>
      <c r="AI48" s="3"/>
      <c r="AJ48"/>
      <c r="AK48" s="4"/>
      <c r="AL48" s="4"/>
      <c r="AM48" s="1"/>
      <c r="AN48" s="1"/>
      <c r="AO48"/>
      <c r="AP48"/>
      <c r="AQ48"/>
      <c r="AR48"/>
      <c r="AS48"/>
      <c r="AT48"/>
    </row>
    <row r="49" spans="2:46" s="5" customFormat="1" x14ac:dyDescent="0.55000000000000004">
      <c r="B49" s="8"/>
      <c r="H49" s="19"/>
      <c r="I49" s="19"/>
      <c r="J49" s="19"/>
      <c r="K49" s="19"/>
      <c r="L49" s="19"/>
      <c r="AG49" s="1"/>
      <c r="AH49" s="3"/>
      <c r="AI49" s="3"/>
      <c r="AJ49"/>
      <c r="AK49" s="4"/>
      <c r="AL49" s="4"/>
      <c r="AM49" s="1"/>
      <c r="AN49" s="1"/>
      <c r="AO49"/>
      <c r="AP49"/>
      <c r="AQ49"/>
      <c r="AR49"/>
      <c r="AS49"/>
      <c r="AT49"/>
    </row>
    <row r="50" spans="2:46" s="5" customFormat="1" x14ac:dyDescent="0.55000000000000004">
      <c r="B50" s="8"/>
      <c r="H50" s="19"/>
      <c r="I50" s="19"/>
      <c r="J50" s="19"/>
      <c r="K50" s="19"/>
      <c r="L50" s="19"/>
      <c r="AG50" s="1"/>
      <c r="AH50" s="3"/>
      <c r="AI50" s="3"/>
      <c r="AJ50"/>
      <c r="AK50" s="4"/>
      <c r="AL50" s="4"/>
      <c r="AM50" s="1"/>
      <c r="AN50" s="1"/>
      <c r="AO50"/>
      <c r="AP50"/>
      <c r="AQ50"/>
      <c r="AR50"/>
      <c r="AS50"/>
      <c r="AT50"/>
    </row>
    <row r="51" spans="2:46" s="5" customFormat="1" x14ac:dyDescent="0.55000000000000004">
      <c r="B51" s="8"/>
      <c r="H51" s="19"/>
      <c r="I51" s="19"/>
      <c r="J51" s="19"/>
      <c r="K51" s="19"/>
      <c r="L51" s="19"/>
      <c r="AG51" s="1"/>
      <c r="AH51" s="3"/>
      <c r="AI51" s="3"/>
      <c r="AJ51"/>
      <c r="AK51" s="4"/>
      <c r="AL51" s="4"/>
      <c r="AM51" s="1"/>
      <c r="AN51" s="1"/>
      <c r="AO51"/>
      <c r="AP51"/>
      <c r="AQ51"/>
      <c r="AR51"/>
      <c r="AS51"/>
      <c r="AT51"/>
    </row>
    <row r="52" spans="2:46" s="5" customFormat="1" x14ac:dyDescent="0.55000000000000004">
      <c r="B52" s="8"/>
      <c r="H52" s="19"/>
      <c r="I52" s="19"/>
      <c r="J52" s="19"/>
      <c r="K52" s="19"/>
      <c r="L52" s="19"/>
      <c r="AG52" s="1"/>
      <c r="AH52" s="2"/>
      <c r="AI52" s="2"/>
      <c r="AJ52"/>
      <c r="AK52"/>
      <c r="AL52"/>
      <c r="AM52"/>
      <c r="AN52"/>
      <c r="AO52"/>
      <c r="AP52"/>
      <c r="AQ52"/>
      <c r="AR52"/>
      <c r="AS52"/>
      <c r="AT52"/>
    </row>
    <row r="53" spans="2:46" s="5" customFormat="1" x14ac:dyDescent="0.55000000000000004">
      <c r="B53" s="8"/>
      <c r="H53" s="19"/>
      <c r="I53" s="19"/>
      <c r="J53" s="19"/>
      <c r="K53" s="19"/>
      <c r="L53" s="19"/>
      <c r="AG53" s="1"/>
      <c r="AH53" s="2"/>
      <c r="AI53" s="2"/>
      <c r="AJ53"/>
      <c r="AK53"/>
      <c r="AL53"/>
      <c r="AM53"/>
      <c r="AN53"/>
      <c r="AO53"/>
      <c r="AP53"/>
      <c r="AQ53"/>
      <c r="AR53"/>
      <c r="AS53"/>
      <c r="AT53"/>
    </row>
    <row r="54" spans="2:46" x14ac:dyDescent="0.55000000000000004">
      <c r="M54"/>
      <c r="N54"/>
      <c r="O54"/>
      <c r="P54"/>
      <c r="Q54"/>
    </row>
    <row r="55" spans="2:46" x14ac:dyDescent="0.55000000000000004">
      <c r="M55"/>
      <c r="N55"/>
      <c r="O55"/>
      <c r="P55"/>
      <c r="Q55"/>
    </row>
    <row r="56" spans="2:46" x14ac:dyDescent="0.55000000000000004">
      <c r="M56"/>
      <c r="N56"/>
      <c r="O56"/>
      <c r="P56"/>
      <c r="Q56"/>
    </row>
  </sheetData>
  <mergeCells count="4">
    <mergeCell ref="F2:J2"/>
    <mergeCell ref="F4:F5"/>
    <mergeCell ref="G4:G5"/>
    <mergeCell ref="P11:Q1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3478-1786-49FF-9594-66740618AD76}">
  <dimension ref="B1:AP65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25.3125" bestFit="1" customWidth="1"/>
    <col min="8" max="8" width="12.734375" style="7" customWidth="1"/>
    <col min="9" max="9" width="16.05078125" style="7" customWidth="1"/>
    <col min="10" max="10" width="19.3125" style="7" bestFit="1" customWidth="1"/>
    <col min="11" max="11" width="8.734375" style="7" customWidth="1"/>
    <col min="12" max="12" width="9.734375" style="7" customWidth="1"/>
    <col min="13" max="13" width="12.68359375" style="7" customWidth="1"/>
    <col min="17" max="17" width="18" customWidth="1"/>
    <col min="18" max="19" width="15.734375" customWidth="1"/>
    <col min="20" max="20" width="14.7890625" customWidth="1"/>
  </cols>
  <sheetData>
    <row r="1" spans="2:13" s="5" customFormat="1" x14ac:dyDescent="0.55000000000000004">
      <c r="H1" s="19"/>
      <c r="I1" s="19"/>
      <c r="J1" s="19"/>
      <c r="K1" s="19"/>
      <c r="L1" s="19"/>
      <c r="M1" s="19"/>
    </row>
    <row r="2" spans="2:13" s="5" customFormat="1" x14ac:dyDescent="0.55000000000000004">
      <c r="B2" s="8"/>
      <c r="F2" s="36" t="s">
        <v>47</v>
      </c>
      <c r="G2" s="36"/>
      <c r="H2" s="36"/>
      <c r="I2" s="36"/>
      <c r="J2" s="36"/>
      <c r="K2" s="19"/>
      <c r="L2" s="19"/>
      <c r="M2" s="19"/>
    </row>
    <row r="3" spans="2:13" s="5" customFormat="1" x14ac:dyDescent="0.55000000000000004">
      <c r="B3" s="8" t="s">
        <v>0</v>
      </c>
      <c r="C3" s="5" t="s">
        <v>31</v>
      </c>
      <c r="F3" s="16"/>
      <c r="G3" s="22"/>
      <c r="H3" s="22"/>
      <c r="I3" s="22"/>
      <c r="L3" s="19"/>
      <c r="M3" s="19"/>
    </row>
    <row r="4" spans="2:13" s="5" customFormat="1" ht="43.2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  <c r="L4" s="19"/>
      <c r="M4" s="19"/>
    </row>
    <row r="5" spans="2:13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  <c r="L5" s="19"/>
      <c r="M5" s="19"/>
    </row>
    <row r="6" spans="2:13" s="5" customFormat="1" x14ac:dyDescent="0.55000000000000004">
      <c r="B6" s="8" t="s">
        <v>2</v>
      </c>
      <c r="C6" s="5">
        <v>1</v>
      </c>
      <c r="F6" t="s">
        <v>104</v>
      </c>
      <c r="G6" s="24">
        <v>127</v>
      </c>
      <c r="H6">
        <v>5</v>
      </c>
      <c r="I6">
        <v>0.12</v>
      </c>
      <c r="J6" s="28">
        <v>1.0781377669875389</v>
      </c>
      <c r="K6" s="5">
        <f>(J6*(H6+I6)/I6)/39.098</f>
        <v>1.1765447011305352</v>
      </c>
      <c r="L6" s="19"/>
      <c r="M6" s="19"/>
    </row>
    <row r="7" spans="2:13" s="5" customFormat="1" x14ac:dyDescent="0.55000000000000004">
      <c r="B7" s="8" t="s">
        <v>3</v>
      </c>
      <c r="C7" s="5" t="s">
        <v>26</v>
      </c>
      <c r="F7" t="s">
        <v>105</v>
      </c>
      <c r="G7" s="25">
        <v>128</v>
      </c>
      <c r="H7">
        <v>5</v>
      </c>
      <c r="I7">
        <v>0.12</v>
      </c>
      <c r="J7" s="27">
        <v>11.399359578799301</v>
      </c>
      <c r="K7" s="5">
        <f t="shared" ref="K7:K18" si="0">(J7*(H7+I7)/I7)/39.098</f>
        <v>12.439835167070017</v>
      </c>
      <c r="L7" s="19"/>
      <c r="M7" s="19"/>
    </row>
    <row r="8" spans="2:13" s="5" customFormat="1" x14ac:dyDescent="0.55000000000000004">
      <c r="B8" s="8" t="s">
        <v>4</v>
      </c>
      <c r="C8" s="5">
        <v>1</v>
      </c>
      <c r="D8" s="5" t="s">
        <v>5</v>
      </c>
      <c r="F8" t="s">
        <v>106</v>
      </c>
      <c r="G8" s="24">
        <v>129</v>
      </c>
      <c r="H8">
        <v>5</v>
      </c>
      <c r="I8">
        <v>0.12</v>
      </c>
      <c r="J8" s="28">
        <v>5.1860090055718189</v>
      </c>
      <c r="K8" s="5">
        <f t="shared" si="0"/>
        <v>5.6593615420498313</v>
      </c>
      <c r="L8" s="19"/>
      <c r="M8" s="19"/>
    </row>
    <row r="9" spans="2:13" s="5" customFormat="1" x14ac:dyDescent="0.55000000000000004">
      <c r="B9" s="8" t="s">
        <v>6</v>
      </c>
      <c r="C9" s="5">
        <v>12</v>
      </c>
      <c r="D9" s="5" t="s">
        <v>5</v>
      </c>
      <c r="F9" t="s">
        <v>107</v>
      </c>
      <c r="G9" s="25">
        <v>130</v>
      </c>
      <c r="H9">
        <v>5</v>
      </c>
      <c r="I9">
        <v>0.12</v>
      </c>
      <c r="J9" s="27">
        <v>9.7897814605145719</v>
      </c>
      <c r="K9" s="5">
        <f t="shared" si="0"/>
        <v>10.683342941206416</v>
      </c>
      <c r="L9" s="19"/>
      <c r="M9" s="19"/>
    </row>
    <row r="10" spans="2:13" s="5" customFormat="1" x14ac:dyDescent="0.55000000000000004">
      <c r="B10" s="8"/>
      <c r="F10" t="s">
        <v>108</v>
      </c>
      <c r="G10" s="24">
        <v>131</v>
      </c>
      <c r="H10">
        <v>5</v>
      </c>
      <c r="I10">
        <v>0.12</v>
      </c>
      <c r="J10" s="28">
        <v>1.1314991297287216</v>
      </c>
      <c r="K10" s="5">
        <f t="shared" si="0"/>
        <v>1.2347766177747912</v>
      </c>
      <c r="L10" s="19"/>
      <c r="M10" s="19"/>
    </row>
    <row r="11" spans="2:13" s="5" customFormat="1" x14ac:dyDescent="0.55000000000000004">
      <c r="B11" s="8" t="s">
        <v>8</v>
      </c>
      <c r="C11" s="5">
        <v>31.21</v>
      </c>
      <c r="D11" s="5" t="s">
        <v>9</v>
      </c>
      <c r="F11" t="s">
        <v>109</v>
      </c>
      <c r="G11" s="25">
        <v>132</v>
      </c>
      <c r="H11">
        <v>5</v>
      </c>
      <c r="I11">
        <v>0.12</v>
      </c>
      <c r="J11" s="27">
        <v>1.7026804620546974</v>
      </c>
      <c r="K11" s="5">
        <f t="shared" si="0"/>
        <v>1.8580924782427173</v>
      </c>
      <c r="L11" s="38"/>
      <c r="M11" s="38"/>
    </row>
    <row r="12" spans="2:13" s="5" customFormat="1" x14ac:dyDescent="0.55000000000000004">
      <c r="B12" s="8" t="s">
        <v>10</v>
      </c>
      <c r="C12" s="5">
        <v>41.22</v>
      </c>
      <c r="D12" s="5" t="s">
        <v>9</v>
      </c>
      <c r="F12" t="s">
        <v>110</v>
      </c>
      <c r="G12" s="24">
        <v>133</v>
      </c>
      <c r="H12">
        <v>5</v>
      </c>
      <c r="I12">
        <v>0.12</v>
      </c>
      <c r="J12" s="28">
        <v>2.3436993060081286</v>
      </c>
      <c r="K12" s="5">
        <f t="shared" si="0"/>
        <v>2.557620263347149</v>
      </c>
      <c r="L12" s="19"/>
      <c r="M12" s="19"/>
    </row>
    <row r="13" spans="2:13" s="5" customFormat="1" x14ac:dyDescent="0.55000000000000004">
      <c r="B13" s="8" t="s">
        <v>11</v>
      </c>
      <c r="C13" s="5">
        <v>42.46</v>
      </c>
      <c r="D13" s="5" t="s">
        <v>9</v>
      </c>
      <c r="F13" t="s">
        <v>111</v>
      </c>
      <c r="G13" s="25">
        <v>134</v>
      </c>
      <c r="H13">
        <v>5</v>
      </c>
      <c r="I13">
        <v>0.12</v>
      </c>
      <c r="J13" s="27">
        <v>2.6182362449273842</v>
      </c>
      <c r="K13" s="5">
        <f t="shared" si="0"/>
        <v>2.8572155383114666</v>
      </c>
      <c r="L13" s="19"/>
      <c r="M13" s="19"/>
    </row>
    <row r="14" spans="2:13" s="5" customFormat="1" x14ac:dyDescent="0.55000000000000004">
      <c r="B14" s="8"/>
      <c r="F14" t="s">
        <v>112</v>
      </c>
      <c r="G14" s="24">
        <v>135</v>
      </c>
      <c r="H14">
        <v>5</v>
      </c>
      <c r="I14">
        <v>0.12</v>
      </c>
      <c r="J14" s="28">
        <v>2.9072669348503219</v>
      </c>
      <c r="K14" s="5">
        <f t="shared" si="0"/>
        <v>3.1726274801851866</v>
      </c>
      <c r="L14" s="19"/>
      <c r="M14" s="19"/>
    </row>
    <row r="15" spans="2:13" s="5" customFormat="1" x14ac:dyDescent="0.55000000000000004">
      <c r="B15" s="8" t="s">
        <v>12</v>
      </c>
      <c r="C15" s="5">
        <v>9.1940000000000008</v>
      </c>
      <c r="D15" s="5" t="s">
        <v>13</v>
      </c>
      <c r="F15" t="s">
        <v>113</v>
      </c>
      <c r="G15" s="25">
        <v>136</v>
      </c>
      <c r="H15">
        <v>5</v>
      </c>
      <c r="I15">
        <v>0.12</v>
      </c>
      <c r="J15" s="27">
        <v>3.2195452571224608</v>
      </c>
      <c r="K15" s="5">
        <f t="shared" si="0"/>
        <v>3.5134089800985131</v>
      </c>
      <c r="L15" s="19"/>
      <c r="M15" s="19"/>
    </row>
    <row r="16" spans="2:13" s="5" customFormat="1" x14ac:dyDescent="0.55000000000000004">
      <c r="B16" s="8" t="s">
        <v>14</v>
      </c>
      <c r="C16" s="5">
        <v>59.485999999999997</v>
      </c>
      <c r="D16" s="5" t="s">
        <v>13</v>
      </c>
      <c r="F16" t="s">
        <v>114</v>
      </c>
      <c r="G16" s="24">
        <v>137</v>
      </c>
      <c r="H16">
        <v>5</v>
      </c>
      <c r="I16">
        <v>0.12</v>
      </c>
      <c r="J16" s="28">
        <v>4.696040913549349</v>
      </c>
      <c r="K16" s="5">
        <f t="shared" si="0"/>
        <v>5.124671653574068</v>
      </c>
      <c r="L16" s="19"/>
      <c r="M16" s="19"/>
    </row>
    <row r="17" spans="2:19" s="5" customFormat="1" x14ac:dyDescent="0.55000000000000004">
      <c r="B17" s="8"/>
      <c r="F17" t="s">
        <v>115</v>
      </c>
      <c r="G17" s="25">
        <v>138</v>
      </c>
      <c r="H17">
        <v>5</v>
      </c>
      <c r="I17">
        <v>0.12</v>
      </c>
      <c r="J17" s="27">
        <v>3.9491908300833303</v>
      </c>
      <c r="K17" s="5">
        <f t="shared" si="0"/>
        <v>4.3096528914579286</v>
      </c>
      <c r="L17" s="19"/>
      <c r="M17" s="19"/>
    </row>
    <row r="18" spans="2:19" s="5" customFormat="1" ht="13.9" customHeight="1" x14ac:dyDescent="0.55000000000000004">
      <c r="B18" s="21" t="s">
        <v>19</v>
      </c>
      <c r="C18" s="16">
        <v>2.75</v>
      </c>
      <c r="D18" s="9" t="s">
        <v>9</v>
      </c>
      <c r="F18" t="s">
        <v>116</v>
      </c>
      <c r="G18" s="24">
        <v>139</v>
      </c>
      <c r="H18">
        <v>5</v>
      </c>
      <c r="I18">
        <v>0.12</v>
      </c>
      <c r="J18" s="28">
        <v>4.3681233955838437</v>
      </c>
      <c r="K18" s="5">
        <f t="shared" si="0"/>
        <v>4.7668234916937946</v>
      </c>
      <c r="L18" s="19"/>
      <c r="M18" s="19"/>
    </row>
    <row r="19" spans="2:19" s="12" customFormat="1" ht="13.9" customHeight="1" x14ac:dyDescent="0.55000000000000004">
      <c r="B19" s="21" t="s">
        <v>20</v>
      </c>
      <c r="C19" s="16">
        <v>3.56</v>
      </c>
      <c r="D19" s="9" t="s">
        <v>9</v>
      </c>
      <c r="F19" t="s">
        <v>117</v>
      </c>
      <c r="G19" s="25">
        <v>140</v>
      </c>
      <c r="H19">
        <v>5</v>
      </c>
      <c r="I19">
        <v>0.12</v>
      </c>
      <c r="J19" s="27">
        <v>4.4337596981549225</v>
      </c>
      <c r="K19" s="5">
        <f>(J19*(H19+I19)/I19)/39.098</f>
        <v>4.8384507422701084</v>
      </c>
    </row>
    <row r="20" spans="2:19" s="5" customFormat="1" ht="13.9" customHeight="1" x14ac:dyDescent="0.55000000000000004">
      <c r="M20" s="19"/>
      <c r="N20" s="19"/>
      <c r="O20" s="19"/>
      <c r="P20" s="19"/>
      <c r="R20" s="19"/>
      <c r="S20" s="19"/>
    </row>
    <row r="21" spans="2:19" s="5" customFormat="1" ht="13.9" customHeight="1" x14ac:dyDescent="0.55000000000000004">
      <c r="M21" s="19"/>
      <c r="N21" s="19"/>
      <c r="O21" s="19"/>
      <c r="P21" s="19"/>
      <c r="R21" s="19"/>
      <c r="S21" s="19"/>
    </row>
    <row r="22" spans="2:19" s="5" customFormat="1" ht="13.9" customHeight="1" x14ac:dyDescent="0.55000000000000004">
      <c r="M22" s="19"/>
      <c r="N22" s="9"/>
      <c r="O22" s="19"/>
      <c r="P22" s="19"/>
      <c r="Q22" s="10"/>
      <c r="R22" s="14"/>
      <c r="S22" s="10"/>
    </row>
    <row r="23" spans="2:19" s="5" customFormat="1" ht="13.9" customHeight="1" x14ac:dyDescent="0.55000000000000004">
      <c r="M23" s="19"/>
      <c r="N23" s="9"/>
      <c r="O23" s="19"/>
      <c r="P23" s="19"/>
      <c r="Q23" s="10"/>
      <c r="R23" s="14"/>
      <c r="S23" s="10"/>
    </row>
    <row r="24" spans="2:19" s="5" customFormat="1" ht="13.9" customHeight="1" x14ac:dyDescent="0.55000000000000004">
      <c r="C24" s="26"/>
      <c r="M24" s="19"/>
      <c r="N24" s="9"/>
      <c r="O24" s="19"/>
      <c r="P24" s="19"/>
      <c r="Q24" s="10"/>
      <c r="R24" s="14"/>
      <c r="S24" s="10"/>
    </row>
    <row r="25" spans="2:19" s="5" customFormat="1" ht="13.9" customHeight="1" x14ac:dyDescent="0.55000000000000004">
      <c r="M25" s="19"/>
      <c r="N25" s="9"/>
      <c r="O25" s="19"/>
      <c r="P25" s="19"/>
      <c r="Q25" s="10"/>
      <c r="R25" s="14"/>
      <c r="S25" s="10"/>
    </row>
    <row r="26" spans="2:19" s="5" customFormat="1" ht="13.9" customHeight="1" x14ac:dyDescent="0.55000000000000004">
      <c r="M26" s="19"/>
      <c r="N26" s="9"/>
      <c r="O26" s="19"/>
      <c r="P26" s="19"/>
      <c r="Q26" s="10"/>
      <c r="R26" s="14"/>
      <c r="S26" s="10"/>
    </row>
    <row r="27" spans="2:19" s="5" customFormat="1" ht="13.9" customHeight="1" x14ac:dyDescent="0.55000000000000004">
      <c r="M27" s="19"/>
      <c r="N27" s="9"/>
      <c r="O27" s="19"/>
      <c r="P27" s="19"/>
      <c r="Q27" s="10"/>
      <c r="R27" s="14"/>
      <c r="S27" s="10"/>
    </row>
    <row r="28" spans="2:19" s="5" customFormat="1" ht="13.9" customHeight="1" x14ac:dyDescent="0.55000000000000004">
      <c r="M28" s="19"/>
      <c r="N28" s="9"/>
      <c r="O28" s="19"/>
      <c r="P28" s="19"/>
      <c r="Q28" s="10"/>
      <c r="R28" s="14"/>
      <c r="S28" s="10"/>
    </row>
    <row r="29" spans="2:19" s="5" customFormat="1" ht="13.9" customHeight="1" x14ac:dyDescent="0.55000000000000004">
      <c r="M29" s="19"/>
      <c r="N29" s="9"/>
      <c r="O29" s="19"/>
      <c r="P29" s="19"/>
      <c r="Q29" s="10"/>
      <c r="R29" s="14"/>
      <c r="S29" s="10"/>
    </row>
    <row r="30" spans="2:19" s="5" customFormat="1" x14ac:dyDescent="0.55000000000000004">
      <c r="H30" s="19"/>
      <c r="M30" s="19"/>
      <c r="N30" s="9"/>
      <c r="O30" s="19"/>
      <c r="P30" s="19"/>
      <c r="Q30" s="10"/>
      <c r="R30" s="14"/>
      <c r="S30" s="10"/>
    </row>
    <row r="31" spans="2:19" s="5" customFormat="1" x14ac:dyDescent="0.55000000000000004">
      <c r="H31" s="19"/>
      <c r="M31" s="19"/>
      <c r="N31" s="9"/>
      <c r="O31" s="19"/>
      <c r="P31" s="19"/>
      <c r="Q31" s="10"/>
      <c r="R31" s="14"/>
      <c r="S31" s="10"/>
    </row>
    <row r="32" spans="2:19" s="5" customFormat="1" x14ac:dyDescent="0.55000000000000004">
      <c r="H32" s="19"/>
      <c r="M32" s="19"/>
      <c r="N32" s="9"/>
      <c r="O32" s="19"/>
      <c r="P32" s="19"/>
      <c r="Q32" s="10"/>
      <c r="R32" s="14"/>
      <c r="S32" s="10"/>
    </row>
    <row r="33" spans="2:42" s="5" customFormat="1" x14ac:dyDescent="0.55000000000000004">
      <c r="H33" s="19"/>
      <c r="M33" s="19"/>
      <c r="N33" s="9"/>
      <c r="O33" s="19"/>
      <c r="P33" s="19"/>
      <c r="Q33" s="10"/>
      <c r="R33" s="14"/>
      <c r="S33" s="10"/>
    </row>
    <row r="34" spans="2:42" s="5" customFormat="1" x14ac:dyDescent="0.55000000000000004">
      <c r="H34" s="19"/>
      <c r="M34" s="19"/>
      <c r="N34" s="9"/>
      <c r="O34" s="19"/>
      <c r="P34" s="19"/>
      <c r="Q34" s="10"/>
      <c r="R34" s="14"/>
      <c r="S34" s="10"/>
    </row>
    <row r="35" spans="2:42" s="5" customFormat="1" x14ac:dyDescent="0.55000000000000004">
      <c r="B35" s="16"/>
      <c r="C35" s="19"/>
      <c r="D35" s="19"/>
      <c r="E35" s="15"/>
      <c r="F35" s="17"/>
      <c r="H35" s="19"/>
      <c r="I35" s="9"/>
      <c r="K35" s="19"/>
      <c r="M35" s="19"/>
      <c r="N35" s="9"/>
      <c r="O35" s="19"/>
      <c r="P35" s="19"/>
      <c r="Q35" s="10"/>
      <c r="R35" s="14"/>
      <c r="S35" s="10"/>
    </row>
    <row r="36" spans="2:42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2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19"/>
      <c r="M37" s="11"/>
    </row>
    <row r="38" spans="2:42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19"/>
      <c r="M38" s="11"/>
    </row>
    <row r="39" spans="2:42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19"/>
      <c r="M39" s="11"/>
    </row>
    <row r="40" spans="2:42" s="5" customFormat="1" x14ac:dyDescent="0.55000000000000004">
      <c r="C40" s="8"/>
      <c r="E40" s="8"/>
      <c r="F40" s="18"/>
      <c r="H40" s="19"/>
      <c r="I40" s="19"/>
      <c r="J40" s="19"/>
      <c r="K40" s="19"/>
      <c r="L40" s="19"/>
      <c r="M40" s="19"/>
    </row>
    <row r="41" spans="2:42" s="5" customFormat="1" x14ac:dyDescent="0.55000000000000004">
      <c r="B41" s="8"/>
      <c r="H41" s="19"/>
      <c r="I41" s="19"/>
      <c r="J41" s="19"/>
      <c r="K41" s="19"/>
      <c r="L41" s="19"/>
      <c r="M41" s="19"/>
    </row>
    <row r="42" spans="2:42" x14ac:dyDescent="0.55000000000000004">
      <c r="B42" s="8"/>
      <c r="C42" s="5"/>
      <c r="D42" s="5"/>
      <c r="E42" s="5"/>
      <c r="H42" s="19"/>
    </row>
    <row r="43" spans="2:42" x14ac:dyDescent="0.55000000000000004">
      <c r="B43" s="8"/>
      <c r="C43" s="5"/>
      <c r="D43" s="5"/>
      <c r="E43" s="5"/>
    </row>
    <row r="45" spans="2:42" s="5" customFormat="1" x14ac:dyDescent="0.55000000000000004">
      <c r="H45" s="19"/>
      <c r="I45" s="19"/>
      <c r="J45" s="19"/>
      <c r="K45" s="19"/>
      <c r="L45" s="19"/>
      <c r="M45" s="19"/>
    </row>
    <row r="46" spans="2:42" s="5" customFormat="1" x14ac:dyDescent="0.55000000000000004">
      <c r="B46" s="8"/>
      <c r="H46" s="19"/>
      <c r="I46" s="19"/>
      <c r="J46" s="19"/>
      <c r="K46" s="19"/>
      <c r="L46" s="19"/>
      <c r="M46" s="19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2:42" s="5" customFormat="1" x14ac:dyDescent="0.55000000000000004">
      <c r="B47" s="8"/>
      <c r="H47" s="19"/>
      <c r="I47" s="19"/>
      <c r="J47" s="19"/>
      <c r="K47" s="19"/>
      <c r="L47" s="19"/>
      <c r="M47" s="19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2:42" s="5" customFormat="1" x14ac:dyDescent="0.55000000000000004">
      <c r="B48" s="8"/>
      <c r="H48" s="19"/>
      <c r="I48" s="19"/>
      <c r="J48" s="19"/>
      <c r="K48" s="19"/>
      <c r="L48" s="19"/>
      <c r="M48" s="19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:42" s="5" customFormat="1" x14ac:dyDescent="0.55000000000000004">
      <c r="B49" s="8"/>
      <c r="H49" s="19"/>
      <c r="I49" s="19"/>
      <c r="J49" s="19"/>
      <c r="K49" s="1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:42" s="5" customFormat="1" x14ac:dyDescent="0.55000000000000004">
      <c r="B50" s="8"/>
      <c r="H50" s="19"/>
      <c r="I50" s="19"/>
      <c r="J50" s="19"/>
      <c r="K50" s="19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:42" s="5" customFormat="1" x14ac:dyDescent="0.55000000000000004">
      <c r="B51" s="8"/>
      <c r="H51" s="19"/>
      <c r="I51" s="19"/>
      <c r="J51" s="19"/>
      <c r="K51" s="19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:42" s="5" customFormat="1" x14ac:dyDescent="0.55000000000000004">
      <c r="B52" s="8"/>
      <c r="H52" s="19"/>
      <c r="I52" s="19"/>
      <c r="J52" s="19"/>
      <c r="K52" s="19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:42" s="5" customFormat="1" x14ac:dyDescent="0.55000000000000004">
      <c r="B53" s="8"/>
      <c r="H53" s="19"/>
      <c r="I53" s="19"/>
      <c r="J53" s="19"/>
      <c r="K53" s="19"/>
      <c r="AC53" s="1"/>
      <c r="AD53" s="2"/>
      <c r="AE53" s="2"/>
      <c r="AF53"/>
      <c r="AG53"/>
      <c r="AH53"/>
      <c r="AI53"/>
      <c r="AJ53"/>
      <c r="AK53"/>
      <c r="AL53"/>
      <c r="AM53"/>
      <c r="AN53"/>
      <c r="AO53"/>
      <c r="AP53"/>
    </row>
    <row r="54" spans="2:42" s="5" customFormat="1" x14ac:dyDescent="0.55000000000000004">
      <c r="B54" s="8"/>
      <c r="H54" s="19"/>
      <c r="I54" s="19"/>
      <c r="J54" s="19"/>
      <c r="K54" s="19"/>
      <c r="AC54" s="1"/>
      <c r="AD54" s="2"/>
      <c r="AE54" s="2"/>
      <c r="AF54"/>
      <c r="AG54"/>
      <c r="AH54"/>
      <c r="AI54"/>
      <c r="AJ54"/>
      <c r="AK54"/>
      <c r="AL54"/>
      <c r="AM54"/>
      <c r="AN54"/>
      <c r="AO54"/>
      <c r="AP54"/>
    </row>
    <row r="55" spans="2:42" s="5" customFormat="1" x14ac:dyDescent="0.55000000000000004">
      <c r="B55" s="8"/>
      <c r="H55" s="19"/>
      <c r="I55" s="19"/>
      <c r="J55" s="19"/>
      <c r="K55" s="19"/>
      <c r="AC55" s="1"/>
      <c r="AD55" s="3"/>
      <c r="AE55" s="3"/>
      <c r="AF55"/>
      <c r="AG55" s="4"/>
      <c r="AH55" s="4"/>
      <c r="AI55" s="1"/>
      <c r="AJ55" s="1"/>
      <c r="AK55"/>
      <c r="AL55"/>
      <c r="AM55"/>
      <c r="AN55"/>
      <c r="AO55"/>
      <c r="AP55"/>
    </row>
    <row r="56" spans="2:42" s="5" customFormat="1" x14ac:dyDescent="0.55000000000000004">
      <c r="B56" s="8"/>
      <c r="H56" s="19"/>
      <c r="I56" s="19"/>
      <c r="J56" s="19"/>
      <c r="K56" s="19"/>
      <c r="AC56" s="1"/>
      <c r="AD56" s="3"/>
      <c r="AE56" s="3"/>
      <c r="AF56"/>
      <c r="AG56" s="4"/>
      <c r="AH56" s="4"/>
      <c r="AI56" s="1"/>
      <c r="AJ56" s="1"/>
      <c r="AK56"/>
      <c r="AL56"/>
      <c r="AM56"/>
      <c r="AN56"/>
      <c r="AO56"/>
      <c r="AP56"/>
    </row>
    <row r="57" spans="2:42" s="5" customFormat="1" x14ac:dyDescent="0.55000000000000004">
      <c r="B57" s="8"/>
      <c r="H57" s="19"/>
      <c r="I57" s="19"/>
      <c r="J57" s="19"/>
      <c r="K57" s="19"/>
      <c r="AC57" s="1"/>
      <c r="AD57" s="3"/>
      <c r="AE57" s="3"/>
      <c r="AF57"/>
      <c r="AG57" s="4"/>
      <c r="AH57" s="4"/>
      <c r="AI57" s="1"/>
      <c r="AJ57" s="1"/>
      <c r="AK57"/>
      <c r="AL57"/>
      <c r="AM57"/>
      <c r="AN57"/>
      <c r="AO57"/>
      <c r="AP57"/>
    </row>
    <row r="58" spans="2:42" s="5" customFormat="1" x14ac:dyDescent="0.55000000000000004">
      <c r="B58" s="8"/>
      <c r="H58" s="19"/>
      <c r="I58" s="19"/>
      <c r="J58" s="19"/>
      <c r="K58" s="19"/>
      <c r="AC58" s="1"/>
      <c r="AD58" s="3"/>
      <c r="AE58" s="3"/>
      <c r="AF58"/>
      <c r="AG58" s="4"/>
      <c r="AH58" s="4"/>
      <c r="AI58" s="1"/>
      <c r="AJ58" s="1"/>
      <c r="AK58"/>
      <c r="AL58"/>
      <c r="AM58"/>
      <c r="AN58"/>
      <c r="AO58"/>
      <c r="AP58"/>
    </row>
    <row r="59" spans="2:42" s="5" customFormat="1" x14ac:dyDescent="0.55000000000000004">
      <c r="B59" s="8"/>
      <c r="H59" s="19"/>
      <c r="I59" s="19"/>
      <c r="J59" s="19"/>
      <c r="K59" s="19"/>
      <c r="AC59" s="1"/>
      <c r="AD59" s="3"/>
      <c r="AE59" s="3"/>
      <c r="AF59"/>
      <c r="AG59" s="4"/>
      <c r="AH59" s="4"/>
      <c r="AI59" s="1"/>
      <c r="AJ59" s="1"/>
      <c r="AK59"/>
      <c r="AL59"/>
      <c r="AM59"/>
      <c r="AN59"/>
      <c r="AO59"/>
      <c r="AP59"/>
    </row>
    <row r="60" spans="2:42" s="5" customFormat="1" x14ac:dyDescent="0.55000000000000004">
      <c r="B60" s="8"/>
      <c r="H60" s="19"/>
      <c r="I60" s="19"/>
      <c r="J60" s="19"/>
      <c r="K60" s="19"/>
      <c r="AC60" s="1"/>
      <c r="AD60" s="3"/>
      <c r="AE60" s="3"/>
      <c r="AF60"/>
      <c r="AG60" s="4"/>
      <c r="AH60" s="4"/>
      <c r="AI60" s="1"/>
      <c r="AJ60" s="1"/>
      <c r="AK60"/>
      <c r="AL60"/>
      <c r="AM60"/>
      <c r="AN60"/>
      <c r="AO60"/>
      <c r="AP60"/>
    </row>
    <row r="61" spans="2:42" s="5" customFormat="1" x14ac:dyDescent="0.55000000000000004">
      <c r="B61" s="8"/>
      <c r="H61" s="19"/>
      <c r="I61" s="19"/>
      <c r="J61" s="19"/>
      <c r="K61" s="19"/>
      <c r="AC61" s="1"/>
      <c r="AD61" s="2"/>
      <c r="AE61" s="2"/>
      <c r="AF61"/>
      <c r="AG61"/>
      <c r="AH61"/>
      <c r="AI61"/>
      <c r="AJ61"/>
      <c r="AK61"/>
      <c r="AL61"/>
      <c r="AM61"/>
      <c r="AN61"/>
      <c r="AO61"/>
      <c r="AP61"/>
    </row>
    <row r="62" spans="2:42" s="5" customFormat="1" x14ac:dyDescent="0.55000000000000004">
      <c r="B62" s="8"/>
      <c r="H62" s="19"/>
      <c r="I62" s="19"/>
      <c r="J62" s="19"/>
      <c r="K62" s="19"/>
      <c r="AC62" s="1"/>
      <c r="AD62" s="2"/>
      <c r="AE62" s="2"/>
      <c r="AF62"/>
      <c r="AG62"/>
      <c r="AH62"/>
      <c r="AI62"/>
      <c r="AJ62"/>
      <c r="AK62"/>
      <c r="AL62"/>
      <c r="AM62"/>
      <c r="AN62"/>
      <c r="AO62"/>
      <c r="AP62"/>
    </row>
    <row r="63" spans="2:42" x14ac:dyDescent="0.55000000000000004">
      <c r="L63"/>
      <c r="M63"/>
    </row>
    <row r="64" spans="2:42" x14ac:dyDescent="0.55000000000000004">
      <c r="L64"/>
      <c r="M64"/>
    </row>
    <row r="65" spans="12:13" x14ac:dyDescent="0.55000000000000004">
      <c r="L65"/>
      <c r="M65"/>
    </row>
  </sheetData>
  <mergeCells count="4">
    <mergeCell ref="F2:J2"/>
    <mergeCell ref="F4:F5"/>
    <mergeCell ref="G4:G5"/>
    <mergeCell ref="L11:M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3B62-685D-40A1-A18C-782D1FEEBF0D}">
  <dimension ref="B1:AO65"/>
  <sheetViews>
    <sheetView zoomScale="70" zoomScaleNormal="7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29.3125" bestFit="1" customWidth="1"/>
    <col min="7" max="7" width="5.5234375" bestFit="1" customWidth="1"/>
    <col min="8" max="8" width="14.83984375" style="7" bestFit="1" customWidth="1"/>
    <col min="9" max="9" width="6.68359375" style="7" bestFit="1" customWidth="1"/>
    <col min="10" max="10" width="7.47265625" style="7" bestFit="1" customWidth="1"/>
    <col min="11" max="11" width="8" style="7" bestFit="1" customWidth="1"/>
    <col min="12" max="12" width="12.68359375" style="7" customWidth="1"/>
    <col min="16" max="16" width="18" customWidth="1"/>
    <col min="17" max="18" width="15.734375" customWidth="1"/>
    <col min="19" max="19" width="14.7890625" customWidth="1"/>
  </cols>
  <sheetData>
    <row r="1" spans="2:14" s="5" customFormat="1" x14ac:dyDescent="0.55000000000000004">
      <c r="H1" s="19"/>
      <c r="I1" s="19"/>
      <c r="J1" s="19"/>
      <c r="K1" s="19"/>
      <c r="L1" s="19"/>
    </row>
    <row r="2" spans="2:14" s="5" customFormat="1" x14ac:dyDescent="0.55000000000000004">
      <c r="B2" s="8"/>
      <c r="F2" s="36" t="s">
        <v>47</v>
      </c>
      <c r="G2" s="36"/>
      <c r="H2" s="36"/>
      <c r="I2" s="36"/>
      <c r="J2" s="36"/>
      <c r="K2" s="19"/>
      <c r="L2" s="19"/>
    </row>
    <row r="3" spans="2:14" s="5" customFormat="1" x14ac:dyDescent="0.55000000000000004">
      <c r="B3" s="8" t="s">
        <v>0</v>
      </c>
      <c r="C3" s="5" t="s">
        <v>32</v>
      </c>
      <c r="F3" s="16"/>
      <c r="G3" s="22"/>
      <c r="H3" s="22"/>
      <c r="I3" s="22"/>
      <c r="J3" s="22"/>
      <c r="L3" s="19"/>
      <c r="M3" s="38" t="s">
        <v>153</v>
      </c>
      <c r="N3" s="38"/>
    </row>
    <row r="4" spans="2:14" s="5" customFormat="1" ht="28.8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  <c r="M4" s="22" t="s">
        <v>118</v>
      </c>
      <c r="N4" s="12" t="s">
        <v>23</v>
      </c>
    </row>
    <row r="5" spans="2:14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  <c r="M5" s="22" t="s">
        <v>18</v>
      </c>
      <c r="N5" s="5" t="s">
        <v>24</v>
      </c>
    </row>
    <row r="6" spans="2:14" s="5" customFormat="1" x14ac:dyDescent="0.55000000000000004">
      <c r="B6" s="8" t="s">
        <v>2</v>
      </c>
      <c r="C6" s="5">
        <v>1</v>
      </c>
      <c r="F6" t="s">
        <v>90</v>
      </c>
      <c r="G6" s="24">
        <v>71</v>
      </c>
      <c r="H6">
        <v>5</v>
      </c>
      <c r="I6">
        <v>0.12</v>
      </c>
      <c r="J6" s="28">
        <v>14.8945982221435</v>
      </c>
      <c r="K6" s="5">
        <f>(J6*(H6+I6)/I6)/39.098</f>
        <v>16.254101424065752</v>
      </c>
      <c r="M6" s="30">
        <v>12.94</v>
      </c>
      <c r="N6" s="5">
        <f t="shared" ref="N6:N19" si="0">(M6*(H6+I6)/I6)/34.453</f>
        <v>16.024922841745759</v>
      </c>
    </row>
    <row r="7" spans="2:14" s="5" customFormat="1" x14ac:dyDescent="0.55000000000000004">
      <c r="B7" s="8" t="s">
        <v>3</v>
      </c>
      <c r="C7" s="5" t="s">
        <v>26</v>
      </c>
      <c r="F7" t="s">
        <v>91</v>
      </c>
      <c r="G7" s="25">
        <v>72</v>
      </c>
      <c r="H7">
        <v>5</v>
      </c>
      <c r="I7">
        <v>1.2E-2</v>
      </c>
      <c r="J7" s="27">
        <v>14.922661672584047</v>
      </c>
      <c r="K7" s="5">
        <f>(J7*(H7+I7)/I7)/39.098</f>
        <v>159.41220416856623</v>
      </c>
      <c r="M7">
        <v>12.409000000000001</v>
      </c>
      <c r="N7" s="5">
        <f t="shared" si="0"/>
        <v>150.43176694820963</v>
      </c>
    </row>
    <row r="8" spans="2:14" s="5" customFormat="1" x14ac:dyDescent="0.55000000000000004">
      <c r="B8" s="8" t="s">
        <v>4</v>
      </c>
      <c r="C8" s="5">
        <v>15</v>
      </c>
      <c r="D8" s="5" t="s">
        <v>5</v>
      </c>
      <c r="F8" t="s">
        <v>92</v>
      </c>
      <c r="G8" s="24">
        <v>73</v>
      </c>
      <c r="H8">
        <v>5</v>
      </c>
      <c r="I8">
        <v>1.2E-2</v>
      </c>
      <c r="J8" s="28">
        <v>8.0064635971421438</v>
      </c>
      <c r="K8" s="5">
        <f t="shared" ref="K8:K19" si="1">(J8*(H8+I8)/I8)/39.098</f>
        <v>85.52951461472118</v>
      </c>
      <c r="M8" s="30">
        <v>7.96</v>
      </c>
      <c r="N8" s="5">
        <f t="shared" si="0"/>
        <v>96.497450633229803</v>
      </c>
    </row>
    <row r="9" spans="2:14" s="5" customFormat="1" x14ac:dyDescent="0.55000000000000004">
      <c r="B9" s="8" t="s">
        <v>6</v>
      </c>
      <c r="C9" s="5">
        <v>120</v>
      </c>
      <c r="D9" s="5" t="s">
        <v>5</v>
      </c>
      <c r="F9" t="s">
        <v>93</v>
      </c>
      <c r="G9" s="25">
        <v>74</v>
      </c>
      <c r="H9">
        <v>5</v>
      </c>
      <c r="I9">
        <v>1.2E-2</v>
      </c>
      <c r="J9" s="27">
        <v>11.572630321048907</v>
      </c>
      <c r="K9" s="5">
        <f t="shared" si="1"/>
        <v>123.6252987558978</v>
      </c>
      <c r="M9">
        <v>10.186999999999999</v>
      </c>
      <c r="N9" s="5">
        <f t="shared" si="0"/>
        <v>123.49491577898388</v>
      </c>
    </row>
    <row r="10" spans="2:14" s="5" customFormat="1" x14ac:dyDescent="0.55000000000000004">
      <c r="B10" s="8"/>
      <c r="F10" t="s">
        <v>94</v>
      </c>
      <c r="G10" s="24">
        <v>75</v>
      </c>
      <c r="H10">
        <v>5</v>
      </c>
      <c r="I10">
        <v>2.5000000000000001E-2</v>
      </c>
      <c r="J10" s="28">
        <v>4.0324730370245607</v>
      </c>
      <c r="K10" s="5">
        <f t="shared" si="1"/>
        <v>20.730653241647573</v>
      </c>
      <c r="M10" s="30">
        <v>3.5139999999999998</v>
      </c>
      <c r="N10" s="5">
        <f t="shared" si="0"/>
        <v>20.500798188836963</v>
      </c>
    </row>
    <row r="11" spans="2:14" s="5" customFormat="1" x14ac:dyDescent="0.55000000000000004">
      <c r="B11" s="8" t="s">
        <v>8</v>
      </c>
      <c r="C11" s="5">
        <v>31.33</v>
      </c>
      <c r="D11" s="5" t="s">
        <v>9</v>
      </c>
      <c r="F11" t="s">
        <v>95</v>
      </c>
      <c r="G11" s="25">
        <v>76</v>
      </c>
      <c r="H11">
        <v>5</v>
      </c>
      <c r="I11">
        <v>2.5000000000000001E-2</v>
      </c>
      <c r="J11" s="27">
        <v>5.9998987116617668</v>
      </c>
      <c r="K11" s="5">
        <f t="shared" si="1"/>
        <v>30.845046832165714</v>
      </c>
      <c r="M11">
        <v>5.2450000000000001</v>
      </c>
      <c r="N11" s="5">
        <f t="shared" si="0"/>
        <v>30.599512379183235</v>
      </c>
    </row>
    <row r="12" spans="2:14" s="5" customFormat="1" x14ac:dyDescent="0.55000000000000004">
      <c r="B12" s="8" t="s">
        <v>10</v>
      </c>
      <c r="C12" s="5">
        <v>41.34</v>
      </c>
      <c r="D12" s="5" t="s">
        <v>9</v>
      </c>
      <c r="F12" t="s">
        <v>96</v>
      </c>
      <c r="G12" s="24">
        <v>77</v>
      </c>
      <c r="H12">
        <v>5</v>
      </c>
      <c r="I12">
        <v>2.5000000000000001E-2</v>
      </c>
      <c r="J12" s="28">
        <v>7.5589457214637079</v>
      </c>
      <c r="K12" s="5">
        <f t="shared" si="1"/>
        <v>38.859995140779716</v>
      </c>
      <c r="M12" s="30">
        <v>6.6790000000000003</v>
      </c>
      <c r="N12" s="5">
        <f t="shared" si="0"/>
        <v>38.965518242243057</v>
      </c>
    </row>
    <row r="13" spans="2:14" s="5" customFormat="1" x14ac:dyDescent="0.55000000000000004">
      <c r="B13" s="8" t="s">
        <v>11</v>
      </c>
      <c r="C13" s="5">
        <v>42.62</v>
      </c>
      <c r="D13" s="5" t="s">
        <v>9</v>
      </c>
      <c r="F13" t="s">
        <v>97</v>
      </c>
      <c r="G13" s="25">
        <v>78</v>
      </c>
      <c r="H13">
        <v>5</v>
      </c>
      <c r="I13">
        <v>2.5000000000000001E-2</v>
      </c>
      <c r="J13" s="27">
        <v>8.7998814934737482</v>
      </c>
      <c r="K13" s="5">
        <f t="shared" si="1"/>
        <v>45.239556503867803</v>
      </c>
      <c r="M13">
        <v>8.0540000000000003</v>
      </c>
      <c r="N13" s="5">
        <f t="shared" si="0"/>
        <v>46.987316053754384</v>
      </c>
    </row>
    <row r="14" spans="2:14" s="5" customFormat="1" x14ac:dyDescent="0.55000000000000004">
      <c r="B14" s="8"/>
      <c r="F14" t="s">
        <v>98</v>
      </c>
      <c r="G14" s="24">
        <v>79</v>
      </c>
      <c r="H14">
        <v>5</v>
      </c>
      <c r="I14">
        <v>2.5000000000000001E-2</v>
      </c>
      <c r="J14" s="28">
        <v>10.198900054770982</v>
      </c>
      <c r="K14" s="5">
        <f t="shared" si="1"/>
        <v>52.431810092817223</v>
      </c>
      <c r="M14" s="30">
        <v>8.7759999999999998</v>
      </c>
      <c r="N14" s="5">
        <f t="shared" si="0"/>
        <v>51.199489159144342</v>
      </c>
    </row>
    <row r="15" spans="2:14" s="5" customFormat="1" x14ac:dyDescent="0.55000000000000004">
      <c r="B15" s="8" t="s">
        <v>12</v>
      </c>
      <c r="C15" s="5">
        <v>9.2219999999999995</v>
      </c>
      <c r="D15" s="5" t="s">
        <v>13</v>
      </c>
      <c r="F15" t="s">
        <v>99</v>
      </c>
      <c r="G15" s="25">
        <v>80</v>
      </c>
      <c r="H15">
        <v>5</v>
      </c>
      <c r="I15">
        <v>2.5000000000000001E-2</v>
      </c>
      <c r="J15" s="27">
        <v>11.327224828401237</v>
      </c>
      <c r="K15" s="5">
        <f t="shared" si="1"/>
        <v>58.232446429706094</v>
      </c>
      <c r="M15">
        <v>9.9640000000000004</v>
      </c>
      <c r="N15" s="5">
        <f t="shared" si="0"/>
        <v>58.130322468290132</v>
      </c>
    </row>
    <row r="16" spans="2:14" s="5" customFormat="1" x14ac:dyDescent="0.55000000000000004">
      <c r="B16" s="8" t="s">
        <v>14</v>
      </c>
      <c r="C16" s="5">
        <v>58.853000000000002</v>
      </c>
      <c r="D16" s="5" t="s">
        <v>13</v>
      </c>
      <c r="F16" t="s">
        <v>100</v>
      </c>
      <c r="G16" s="24">
        <v>81</v>
      </c>
      <c r="H16">
        <v>5</v>
      </c>
      <c r="I16">
        <v>2.5000000000000001E-2</v>
      </c>
      <c r="J16" s="27">
        <v>12.061332074000193</v>
      </c>
      <c r="K16" s="5">
        <f t="shared" si="1"/>
        <v>62.006438868331855</v>
      </c>
      <c r="M16" s="30">
        <v>10.63</v>
      </c>
      <c r="N16" s="5">
        <f t="shared" si="0"/>
        <v>62.015789626447621</v>
      </c>
    </row>
    <row r="17" spans="2:18" s="5" customFormat="1" x14ac:dyDescent="0.55000000000000004">
      <c r="B17" s="8"/>
      <c r="F17" t="s">
        <v>101</v>
      </c>
      <c r="G17" s="25">
        <v>82</v>
      </c>
      <c r="H17">
        <v>5</v>
      </c>
      <c r="I17">
        <v>2.5000000000000001E-2</v>
      </c>
      <c r="J17" s="28">
        <v>13.863109203651289</v>
      </c>
      <c r="K17" s="5">
        <f t="shared" si="1"/>
        <v>71.269245228244657</v>
      </c>
      <c r="M17">
        <v>12.073</v>
      </c>
      <c r="N17" s="5">
        <f t="shared" si="0"/>
        <v>70.434301802455508</v>
      </c>
    </row>
    <row r="18" spans="2:18" s="5" customFormat="1" ht="13.9" customHeight="1" x14ac:dyDescent="0.55000000000000004">
      <c r="B18" s="21" t="s">
        <v>19</v>
      </c>
      <c r="C18" s="16">
        <v>2.73</v>
      </c>
      <c r="D18" s="9" t="s">
        <v>9</v>
      </c>
      <c r="F18" t="s">
        <v>102</v>
      </c>
      <c r="G18" s="24">
        <v>83</v>
      </c>
      <c r="H18">
        <v>5</v>
      </c>
      <c r="I18">
        <v>2.5000000000000001E-2</v>
      </c>
      <c r="J18" s="27">
        <v>14.836310868139938</v>
      </c>
      <c r="K18" s="5">
        <f t="shared" si="1"/>
        <v>76.272404841580837</v>
      </c>
      <c r="M18" s="30">
        <v>12.587999999999999</v>
      </c>
      <c r="N18" s="5">
        <f t="shared" si="0"/>
        <v>73.438829710039741</v>
      </c>
    </row>
    <row r="19" spans="2:18" s="12" customFormat="1" ht="13.9" customHeight="1" x14ac:dyDescent="0.55000000000000004">
      <c r="B19" s="21" t="s">
        <v>20</v>
      </c>
      <c r="C19" s="16">
        <v>3.51</v>
      </c>
      <c r="D19" s="9" t="s">
        <v>9</v>
      </c>
      <c r="F19" t="s">
        <v>103</v>
      </c>
      <c r="G19" s="25">
        <v>84</v>
      </c>
      <c r="H19">
        <v>5</v>
      </c>
      <c r="I19">
        <v>2.5000000000000001E-2</v>
      </c>
      <c r="J19" s="28">
        <v>15.810788691574672</v>
      </c>
      <c r="K19" s="5">
        <f t="shared" si="1"/>
        <v>81.282125096079312</v>
      </c>
      <c r="M19">
        <v>13.689</v>
      </c>
      <c r="N19" s="5">
        <f t="shared" si="0"/>
        <v>79.862101994020833</v>
      </c>
    </row>
    <row r="20" spans="2:18" s="5" customFormat="1" ht="13.9" customHeight="1" x14ac:dyDescent="0.55000000000000004">
      <c r="L20" s="19"/>
      <c r="O20" s="19"/>
      <c r="Q20" s="19"/>
      <c r="R20" s="19"/>
    </row>
    <row r="21" spans="2:18" s="5" customFormat="1" ht="13.9" customHeight="1" x14ac:dyDescent="0.55000000000000004">
      <c r="L21" s="19"/>
      <c r="M21" s="19"/>
      <c r="N21" s="19"/>
      <c r="O21" s="19"/>
      <c r="Q21" s="19"/>
      <c r="R21" s="19"/>
    </row>
    <row r="22" spans="2:18" s="5" customFormat="1" ht="13.9" customHeight="1" x14ac:dyDescent="0.55000000000000004">
      <c r="L22" s="19"/>
      <c r="M22" s="9"/>
      <c r="N22" s="19"/>
      <c r="O22" s="19"/>
      <c r="P22" s="10"/>
      <c r="Q22" s="14"/>
      <c r="R22" s="10"/>
    </row>
    <row r="23" spans="2:18" s="5" customFormat="1" ht="13.9" customHeight="1" x14ac:dyDescent="0.55000000000000004">
      <c r="L23" s="19"/>
      <c r="M23" s="9"/>
      <c r="N23" s="19"/>
      <c r="O23" s="19"/>
      <c r="P23" s="10"/>
      <c r="Q23" s="14"/>
      <c r="R23" s="10"/>
    </row>
    <row r="24" spans="2:18" s="5" customFormat="1" ht="13.9" customHeight="1" x14ac:dyDescent="0.55000000000000004">
      <c r="C24" s="26"/>
      <c r="L24" s="19"/>
      <c r="M24" s="9"/>
      <c r="N24" s="19"/>
      <c r="O24" s="19"/>
      <c r="P24" s="10"/>
      <c r="Q24" s="14"/>
      <c r="R24" s="10"/>
    </row>
    <row r="25" spans="2:18" s="5" customFormat="1" ht="13.9" customHeight="1" x14ac:dyDescent="0.55000000000000004">
      <c r="L25" s="19"/>
      <c r="M25" s="9"/>
      <c r="N25" s="19"/>
      <c r="O25" s="19"/>
      <c r="P25" s="10"/>
      <c r="Q25" s="14"/>
      <c r="R25" s="10"/>
    </row>
    <row r="26" spans="2:18" s="5" customFormat="1" ht="13.9" customHeight="1" x14ac:dyDescent="0.55000000000000004">
      <c r="L26" s="19"/>
      <c r="M26" s="9"/>
      <c r="N26" s="19"/>
      <c r="O26" s="19"/>
      <c r="P26" s="10"/>
      <c r="Q26" s="14"/>
      <c r="R26" s="10"/>
    </row>
    <row r="27" spans="2:18" s="5" customFormat="1" ht="13.9" customHeight="1" x14ac:dyDescent="0.55000000000000004">
      <c r="L27" s="19"/>
      <c r="M27" s="9"/>
      <c r="N27" s="19"/>
      <c r="O27" s="19"/>
      <c r="P27" s="10"/>
      <c r="Q27" s="14"/>
      <c r="R27" s="10"/>
    </row>
    <row r="28" spans="2:18" s="5" customFormat="1" ht="13.9" customHeight="1" x14ac:dyDescent="0.55000000000000004">
      <c r="L28" s="19"/>
      <c r="M28" s="9"/>
      <c r="N28" s="19"/>
      <c r="O28" s="19"/>
      <c r="P28" s="10"/>
      <c r="Q28" s="14"/>
      <c r="R28" s="10"/>
    </row>
    <row r="29" spans="2:18" s="5" customFormat="1" ht="13.9" customHeight="1" x14ac:dyDescent="0.55000000000000004">
      <c r="L29" s="19"/>
      <c r="M29" s="9"/>
      <c r="N29" s="19"/>
      <c r="O29" s="19"/>
      <c r="P29" s="10"/>
      <c r="Q29" s="14"/>
      <c r="R29" s="10"/>
    </row>
    <row r="30" spans="2:18" s="5" customFormat="1" x14ac:dyDescent="0.55000000000000004">
      <c r="H30" s="19"/>
      <c r="L30" s="19"/>
      <c r="M30" s="9"/>
      <c r="N30" s="19"/>
      <c r="O30" s="19"/>
      <c r="P30" s="10"/>
      <c r="Q30" s="14"/>
      <c r="R30" s="10"/>
    </row>
    <row r="31" spans="2:18" s="5" customFormat="1" x14ac:dyDescent="0.55000000000000004">
      <c r="H31" s="19"/>
      <c r="L31" s="19"/>
      <c r="M31" s="9"/>
      <c r="N31" s="19"/>
      <c r="O31" s="19"/>
      <c r="P31" s="10"/>
      <c r="Q31" s="14"/>
      <c r="R31" s="10"/>
    </row>
    <row r="32" spans="2:18" s="5" customFormat="1" x14ac:dyDescent="0.55000000000000004">
      <c r="H32" s="19"/>
      <c r="L32" s="19"/>
      <c r="M32" s="9"/>
      <c r="N32" s="19"/>
      <c r="O32" s="19"/>
      <c r="P32" s="10"/>
      <c r="Q32" s="14"/>
      <c r="R32" s="10"/>
    </row>
    <row r="33" spans="2:41" s="5" customFormat="1" x14ac:dyDescent="0.55000000000000004">
      <c r="H33" s="19"/>
      <c r="L33" s="19"/>
      <c r="M33" s="9"/>
      <c r="N33" s="19"/>
      <c r="O33" s="19"/>
      <c r="P33" s="10"/>
      <c r="Q33" s="14"/>
      <c r="R33" s="10"/>
    </row>
    <row r="34" spans="2:41" s="5" customFormat="1" x14ac:dyDescent="0.55000000000000004">
      <c r="H34" s="19"/>
      <c r="L34" s="19"/>
      <c r="M34" s="9"/>
      <c r="N34" s="19"/>
      <c r="O34" s="19"/>
      <c r="P34" s="10"/>
      <c r="Q34" s="14"/>
      <c r="R34" s="10"/>
    </row>
    <row r="35" spans="2:41" s="5" customFormat="1" x14ac:dyDescent="0.55000000000000004">
      <c r="B35" s="16"/>
      <c r="C35" s="19"/>
      <c r="D35" s="19"/>
      <c r="E35" s="15"/>
      <c r="F35" s="17"/>
      <c r="H35" s="19"/>
      <c r="I35" s="9"/>
      <c r="J35" s="19"/>
      <c r="K35" s="19"/>
      <c r="L35" s="19"/>
      <c r="M35" s="9"/>
      <c r="N35" s="19"/>
      <c r="O35" s="19"/>
      <c r="P35" s="10"/>
      <c r="Q35" s="14"/>
      <c r="R35" s="10"/>
    </row>
    <row r="36" spans="2:41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1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11"/>
    </row>
    <row r="38" spans="2:41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11"/>
    </row>
    <row r="39" spans="2:41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11"/>
    </row>
    <row r="40" spans="2:41" s="5" customFormat="1" x14ac:dyDescent="0.55000000000000004">
      <c r="C40" s="8"/>
      <c r="E40" s="8"/>
      <c r="F40" s="18"/>
      <c r="H40" s="19"/>
      <c r="I40" s="19"/>
      <c r="J40" s="19"/>
      <c r="K40" s="19"/>
      <c r="L40" s="19"/>
    </row>
    <row r="41" spans="2:41" s="5" customFormat="1" x14ac:dyDescent="0.55000000000000004">
      <c r="B41" s="8"/>
      <c r="H41" s="19"/>
      <c r="I41" s="19"/>
      <c r="J41" s="19"/>
      <c r="K41" s="19"/>
      <c r="L41" s="19"/>
    </row>
    <row r="42" spans="2:41" x14ac:dyDescent="0.55000000000000004">
      <c r="B42" s="8"/>
      <c r="C42" s="5"/>
      <c r="D42" s="5"/>
      <c r="E42" s="5"/>
      <c r="H42" s="19"/>
    </row>
    <row r="43" spans="2:41" x14ac:dyDescent="0.55000000000000004">
      <c r="B43" s="8"/>
      <c r="C43" s="5"/>
      <c r="D43" s="5"/>
      <c r="E43" s="5"/>
    </row>
    <row r="45" spans="2:41" s="5" customFormat="1" x14ac:dyDescent="0.55000000000000004">
      <c r="H45" s="19"/>
      <c r="I45" s="19"/>
      <c r="J45" s="19"/>
      <c r="K45" s="19"/>
      <c r="L45" s="19"/>
    </row>
    <row r="46" spans="2:41" s="5" customFormat="1" x14ac:dyDescent="0.55000000000000004">
      <c r="B46" s="8"/>
      <c r="H46" s="19"/>
      <c r="I46" s="19"/>
      <c r="J46" s="19"/>
      <c r="K46" s="19"/>
      <c r="L46" s="19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</row>
    <row r="47" spans="2:41" s="5" customFormat="1" x14ac:dyDescent="0.55000000000000004">
      <c r="B47" s="8"/>
      <c r="H47" s="19"/>
      <c r="I47" s="19"/>
      <c r="J47" s="19"/>
      <c r="K47" s="19"/>
      <c r="L47" s="19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</row>
    <row r="48" spans="2:41" s="5" customFormat="1" x14ac:dyDescent="0.55000000000000004">
      <c r="B48" s="8"/>
      <c r="H48" s="19"/>
      <c r="I48" s="19"/>
      <c r="J48" s="19"/>
      <c r="K48" s="19"/>
      <c r="L48" s="19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</row>
    <row r="49" spans="2:41" s="5" customFormat="1" x14ac:dyDescent="0.55000000000000004">
      <c r="B49" s="8"/>
      <c r="H49" s="19"/>
      <c r="I49" s="19"/>
      <c r="J49" s="19"/>
      <c r="K49" s="1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</row>
    <row r="50" spans="2:41" s="5" customFormat="1" x14ac:dyDescent="0.55000000000000004">
      <c r="B50" s="8"/>
      <c r="H50" s="19"/>
      <c r="I50" s="19"/>
      <c r="J50" s="19"/>
      <c r="K50" s="19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2:41" s="5" customFormat="1" x14ac:dyDescent="0.55000000000000004">
      <c r="B51" s="8"/>
      <c r="H51" s="19"/>
      <c r="I51" s="19"/>
      <c r="J51" s="19"/>
      <c r="K51" s="19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2:41" s="5" customFormat="1" x14ac:dyDescent="0.55000000000000004">
      <c r="B52" s="8"/>
      <c r="H52" s="19"/>
      <c r="I52" s="19"/>
      <c r="J52" s="19"/>
      <c r="K52" s="19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2:41" s="5" customFormat="1" x14ac:dyDescent="0.55000000000000004">
      <c r="B53" s="8"/>
      <c r="H53" s="19"/>
      <c r="I53" s="19"/>
      <c r="J53" s="19"/>
      <c r="K53" s="19"/>
      <c r="AB53" s="1"/>
      <c r="AC53" s="2"/>
      <c r="AD53" s="2"/>
      <c r="AE53"/>
      <c r="AF53"/>
      <c r="AG53"/>
      <c r="AH53"/>
      <c r="AI53"/>
      <c r="AJ53"/>
      <c r="AK53"/>
      <c r="AL53"/>
      <c r="AM53"/>
      <c r="AN53"/>
      <c r="AO53"/>
    </row>
    <row r="54" spans="2:41" s="5" customFormat="1" x14ac:dyDescent="0.55000000000000004">
      <c r="B54" s="8"/>
      <c r="H54" s="19"/>
      <c r="I54" s="19"/>
      <c r="J54" s="19"/>
      <c r="K54" s="19"/>
      <c r="AB54" s="1"/>
      <c r="AC54" s="2"/>
      <c r="AD54" s="2"/>
      <c r="AE54"/>
      <c r="AF54"/>
      <c r="AG54"/>
      <c r="AH54"/>
      <c r="AI54"/>
      <c r="AJ54"/>
      <c r="AK54"/>
      <c r="AL54"/>
      <c r="AM54"/>
      <c r="AN54"/>
      <c r="AO54"/>
    </row>
    <row r="55" spans="2:41" s="5" customFormat="1" x14ac:dyDescent="0.55000000000000004">
      <c r="B55" s="8"/>
      <c r="H55" s="19"/>
      <c r="I55" s="19"/>
      <c r="J55" s="19"/>
      <c r="K55" s="19"/>
      <c r="AB55" s="1"/>
      <c r="AC55" s="3"/>
      <c r="AD55" s="3"/>
      <c r="AE55"/>
      <c r="AF55" s="4"/>
      <c r="AG55" s="4"/>
      <c r="AH55" s="1"/>
      <c r="AI55" s="1"/>
      <c r="AJ55"/>
      <c r="AK55"/>
      <c r="AL55"/>
      <c r="AM55"/>
      <c r="AN55"/>
      <c r="AO55"/>
    </row>
    <row r="56" spans="2:41" s="5" customFormat="1" x14ac:dyDescent="0.55000000000000004">
      <c r="B56" s="8"/>
      <c r="H56" s="19"/>
      <c r="I56" s="19"/>
      <c r="J56" s="19"/>
      <c r="K56" s="19"/>
      <c r="AB56" s="1"/>
      <c r="AC56" s="3"/>
      <c r="AD56" s="3"/>
      <c r="AE56"/>
      <c r="AF56" s="4"/>
      <c r="AG56" s="4"/>
      <c r="AH56" s="1"/>
      <c r="AI56" s="1"/>
      <c r="AJ56"/>
      <c r="AK56"/>
      <c r="AL56"/>
      <c r="AM56"/>
      <c r="AN56"/>
      <c r="AO56"/>
    </row>
    <row r="57" spans="2:41" s="5" customFormat="1" x14ac:dyDescent="0.55000000000000004">
      <c r="B57" s="8"/>
      <c r="H57" s="19"/>
      <c r="I57" s="19"/>
      <c r="J57" s="19"/>
      <c r="K57" s="19"/>
      <c r="AB57" s="1"/>
      <c r="AC57" s="3"/>
      <c r="AD57" s="3"/>
      <c r="AE57"/>
      <c r="AF57" s="4"/>
      <c r="AG57" s="4"/>
      <c r="AH57" s="1"/>
      <c r="AI57" s="1"/>
      <c r="AJ57"/>
      <c r="AK57"/>
      <c r="AL57"/>
      <c r="AM57"/>
      <c r="AN57"/>
      <c r="AO57"/>
    </row>
    <row r="58" spans="2:41" s="5" customFormat="1" x14ac:dyDescent="0.55000000000000004">
      <c r="B58" s="8"/>
      <c r="H58" s="19"/>
      <c r="I58" s="19"/>
      <c r="J58" s="19"/>
      <c r="K58" s="19"/>
      <c r="AB58" s="1"/>
      <c r="AC58" s="3"/>
      <c r="AD58" s="3"/>
      <c r="AE58"/>
      <c r="AF58" s="4"/>
      <c r="AG58" s="4"/>
      <c r="AH58" s="1"/>
      <c r="AI58" s="1"/>
      <c r="AJ58"/>
      <c r="AK58"/>
      <c r="AL58"/>
      <c r="AM58"/>
      <c r="AN58"/>
      <c r="AO58"/>
    </row>
    <row r="59" spans="2:41" s="5" customFormat="1" x14ac:dyDescent="0.55000000000000004">
      <c r="B59" s="8"/>
      <c r="H59" s="19"/>
      <c r="I59" s="19"/>
      <c r="J59" s="19"/>
      <c r="K59" s="19"/>
      <c r="AB59" s="1"/>
      <c r="AC59" s="3"/>
      <c r="AD59" s="3"/>
      <c r="AE59"/>
      <c r="AF59" s="4"/>
      <c r="AG59" s="4"/>
      <c r="AH59" s="1"/>
      <c r="AI59" s="1"/>
      <c r="AJ59"/>
      <c r="AK59"/>
      <c r="AL59"/>
      <c r="AM59"/>
      <c r="AN59"/>
      <c r="AO59"/>
    </row>
    <row r="60" spans="2:41" s="5" customFormat="1" x14ac:dyDescent="0.55000000000000004">
      <c r="B60" s="8"/>
      <c r="H60" s="19"/>
      <c r="I60" s="19"/>
      <c r="J60" s="19"/>
      <c r="K60" s="19"/>
      <c r="AB60" s="1"/>
      <c r="AC60" s="3"/>
      <c r="AD60" s="3"/>
      <c r="AE60"/>
      <c r="AF60" s="4"/>
      <c r="AG60" s="4"/>
      <c r="AH60" s="1"/>
      <c r="AI60" s="1"/>
      <c r="AJ60"/>
      <c r="AK60"/>
      <c r="AL60"/>
      <c r="AM60"/>
      <c r="AN60"/>
      <c r="AO60"/>
    </row>
    <row r="61" spans="2:41" s="5" customFormat="1" x14ac:dyDescent="0.55000000000000004">
      <c r="B61" s="8"/>
      <c r="H61" s="19"/>
      <c r="I61" s="19"/>
      <c r="J61" s="19"/>
      <c r="K61" s="19"/>
      <c r="AB61" s="1"/>
      <c r="AC61" s="2"/>
      <c r="AD61" s="2"/>
      <c r="AE61"/>
      <c r="AF61"/>
      <c r="AG61"/>
      <c r="AH61"/>
      <c r="AI61"/>
      <c r="AJ61"/>
      <c r="AK61"/>
      <c r="AL61"/>
      <c r="AM61"/>
      <c r="AN61"/>
      <c r="AO61"/>
    </row>
    <row r="62" spans="2:41" s="5" customFormat="1" x14ac:dyDescent="0.55000000000000004">
      <c r="B62" s="8"/>
      <c r="H62" s="19"/>
      <c r="I62" s="19"/>
      <c r="J62" s="19"/>
      <c r="K62" s="19"/>
      <c r="AB62" s="1"/>
      <c r="AC62" s="2"/>
      <c r="AD62" s="2"/>
      <c r="AE62"/>
      <c r="AF62"/>
      <c r="AG62"/>
      <c r="AH62"/>
      <c r="AI62"/>
      <c r="AJ62"/>
      <c r="AK62"/>
      <c r="AL62"/>
      <c r="AM62"/>
      <c r="AN62"/>
      <c r="AO62"/>
    </row>
    <row r="63" spans="2:41" x14ac:dyDescent="0.55000000000000004">
      <c r="L63"/>
    </row>
    <row r="64" spans="2:41" x14ac:dyDescent="0.55000000000000004">
      <c r="L64"/>
    </row>
    <row r="65" spans="12:12" x14ac:dyDescent="0.55000000000000004">
      <c r="L65"/>
    </row>
  </sheetData>
  <mergeCells count="4">
    <mergeCell ref="F2:J2"/>
    <mergeCell ref="F4:F5"/>
    <mergeCell ref="G4:G5"/>
    <mergeCell ref="M3:N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0A0E-BA91-429D-B7AE-0BADF8776074}">
  <dimension ref="B1:AM62"/>
  <sheetViews>
    <sheetView zoomScale="80" zoomScaleNormal="80" workbookViewId="0">
      <selection activeCell="C3" sqref="C3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29.3125" bestFit="1" customWidth="1"/>
    <col min="7" max="7" width="5.5234375" bestFit="1" customWidth="1"/>
    <col min="8" max="8" width="14.83984375" style="7" bestFit="1" customWidth="1"/>
    <col min="9" max="9" width="6.68359375" style="7" bestFit="1" customWidth="1"/>
    <col min="10" max="10" width="7.47265625" style="7" bestFit="1" customWidth="1"/>
    <col min="11" max="11" width="8" style="7" bestFit="1" customWidth="1"/>
    <col min="14" max="14" width="18" customWidth="1"/>
    <col min="15" max="16" width="15.734375" customWidth="1"/>
    <col min="17" max="17" width="14.7890625" customWidth="1"/>
  </cols>
  <sheetData>
    <row r="1" spans="2:11" s="5" customFormat="1" x14ac:dyDescent="0.55000000000000004">
      <c r="H1" s="19"/>
      <c r="I1" s="19"/>
      <c r="J1" s="19"/>
      <c r="K1" s="19"/>
    </row>
    <row r="2" spans="2:11" s="5" customFormat="1" x14ac:dyDescent="0.55000000000000004">
      <c r="B2" s="8"/>
      <c r="F2" s="36" t="s">
        <v>212</v>
      </c>
      <c r="G2" s="36"/>
      <c r="H2" s="36"/>
      <c r="I2" s="36"/>
      <c r="J2" s="36"/>
      <c r="K2" s="19"/>
    </row>
    <row r="3" spans="2:11" s="5" customFormat="1" x14ac:dyDescent="0.55000000000000004">
      <c r="B3" s="8" t="s">
        <v>0</v>
      </c>
      <c r="C3" s="5" t="s">
        <v>151</v>
      </c>
      <c r="F3" s="16"/>
      <c r="G3" s="22"/>
      <c r="H3" s="22"/>
      <c r="I3" s="22"/>
      <c r="J3" s="22"/>
    </row>
    <row r="4" spans="2:11" s="5" customFormat="1" ht="28.8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</row>
    <row r="5" spans="2:11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</row>
    <row r="6" spans="2:11" s="5" customFormat="1" x14ac:dyDescent="0.55000000000000004">
      <c r="B6" s="8" t="s">
        <v>2</v>
      </c>
      <c r="C6" s="5">
        <v>1</v>
      </c>
      <c r="F6" t="s">
        <v>120</v>
      </c>
      <c r="G6">
        <v>7</v>
      </c>
      <c r="H6">
        <v>5</v>
      </c>
      <c r="I6">
        <v>0.12</v>
      </c>
      <c r="J6" s="33">
        <v>10.235672125320512</v>
      </c>
      <c r="K6" s="5">
        <f>(J6*(H6+I6)/I6)/39.098</f>
        <v>11.16993223899795</v>
      </c>
    </row>
    <row r="7" spans="2:11" s="5" customFormat="1" x14ac:dyDescent="0.55000000000000004">
      <c r="B7" s="8" t="s">
        <v>3</v>
      </c>
      <c r="C7" s="5" t="s">
        <v>26</v>
      </c>
      <c r="F7" t="s">
        <v>121</v>
      </c>
      <c r="G7">
        <v>8</v>
      </c>
      <c r="H7">
        <v>5</v>
      </c>
      <c r="I7">
        <v>2.5000000000000001E-2</v>
      </c>
      <c r="J7" s="34">
        <v>9.6436374546618584</v>
      </c>
      <c r="K7" s="5">
        <f t="shared" ref="K7:K8" si="0">(J7*(H7+I7)/I7)/39.098</f>
        <v>49.577245086373566</v>
      </c>
    </row>
    <row r="8" spans="2:11" s="5" customFormat="1" x14ac:dyDescent="0.55000000000000004">
      <c r="B8" s="8" t="s">
        <v>4</v>
      </c>
      <c r="C8" s="5">
        <v>10</v>
      </c>
      <c r="D8" s="5" t="s">
        <v>5</v>
      </c>
      <c r="F8" t="s">
        <v>122</v>
      </c>
      <c r="G8">
        <v>9</v>
      </c>
      <c r="H8">
        <v>5</v>
      </c>
      <c r="I8">
        <v>0.12</v>
      </c>
      <c r="J8" s="33">
        <v>29.414396659167206</v>
      </c>
      <c r="K8" s="5">
        <f t="shared" si="0"/>
        <v>32.099193244099467</v>
      </c>
    </row>
    <row r="9" spans="2:11" s="5" customFormat="1" x14ac:dyDescent="0.55000000000000004">
      <c r="B9" s="8" t="s">
        <v>6</v>
      </c>
      <c r="C9" s="5">
        <v>50</v>
      </c>
      <c r="D9" s="5" t="s">
        <v>5</v>
      </c>
      <c r="F9" t="s">
        <v>123</v>
      </c>
      <c r="G9">
        <v>10</v>
      </c>
      <c r="H9">
        <v>5</v>
      </c>
      <c r="I9">
        <v>0.12</v>
      </c>
      <c r="J9" s="34">
        <v>48.691192570119462</v>
      </c>
      <c r="K9" s="5">
        <f>(J9*(H9+I9)/I9)/39.098</f>
        <v>53.135477083016113</v>
      </c>
    </row>
    <row r="10" spans="2:11" s="5" customFormat="1" x14ac:dyDescent="0.55000000000000004">
      <c r="B10" s="8"/>
      <c r="F10" t="s">
        <v>124</v>
      </c>
      <c r="G10">
        <v>11</v>
      </c>
      <c r="H10">
        <v>5</v>
      </c>
      <c r="I10">
        <v>0.12</v>
      </c>
      <c r="J10" s="31">
        <v>4.78994633225998</v>
      </c>
      <c r="K10" s="5">
        <f>(J10*(H10+I10)/I10)/39.098</f>
        <v>5.2271482814916155</v>
      </c>
    </row>
    <row r="11" spans="2:11" s="5" customFormat="1" x14ac:dyDescent="0.55000000000000004">
      <c r="B11" s="8" t="s">
        <v>8</v>
      </c>
      <c r="C11" s="5">
        <v>31.87</v>
      </c>
      <c r="D11" s="5" t="s">
        <v>9</v>
      </c>
      <c r="F11" t="s">
        <v>125</v>
      </c>
      <c r="G11">
        <v>12</v>
      </c>
      <c r="H11">
        <v>5</v>
      </c>
      <c r="I11">
        <v>0.12</v>
      </c>
      <c r="J11" s="32">
        <v>6.6591101839642199</v>
      </c>
      <c r="K11" s="5">
        <f t="shared" ref="K11:K19" si="1">(J11*(H11+I11)/I11)/39.098</f>
        <v>7.2669199067933583</v>
      </c>
    </row>
    <row r="12" spans="2:11" s="5" customFormat="1" x14ac:dyDescent="0.55000000000000004">
      <c r="B12" s="8" t="s">
        <v>10</v>
      </c>
      <c r="C12" s="5">
        <v>41.87</v>
      </c>
      <c r="D12" s="5" t="s">
        <v>9</v>
      </c>
      <c r="F12" t="s">
        <v>126</v>
      </c>
      <c r="G12">
        <v>13</v>
      </c>
      <c r="H12">
        <v>5</v>
      </c>
      <c r="I12">
        <v>0.12</v>
      </c>
      <c r="J12" s="31">
        <v>9.2012058921563291</v>
      </c>
      <c r="K12" s="5">
        <f t="shared" si="1"/>
        <v>10.041045187273093</v>
      </c>
    </row>
    <row r="13" spans="2:11" s="5" customFormat="1" x14ac:dyDescent="0.55000000000000004">
      <c r="B13" s="8" t="s">
        <v>11</v>
      </c>
      <c r="C13" s="5">
        <v>41.58</v>
      </c>
      <c r="D13" s="5" t="s">
        <v>9</v>
      </c>
      <c r="F13" t="s">
        <v>127</v>
      </c>
      <c r="G13">
        <v>14</v>
      </c>
      <c r="H13">
        <v>5</v>
      </c>
      <c r="I13">
        <v>0.12</v>
      </c>
      <c r="J13" s="32">
        <v>12.0126982390309</v>
      </c>
      <c r="K13" s="5">
        <f t="shared" si="1"/>
        <v>13.109156262007904</v>
      </c>
    </row>
    <row r="14" spans="2:11" s="5" customFormat="1" x14ac:dyDescent="0.55000000000000004">
      <c r="B14" s="8"/>
      <c r="F14" t="s">
        <v>128</v>
      </c>
      <c r="G14">
        <v>15</v>
      </c>
      <c r="H14">
        <v>5</v>
      </c>
      <c r="I14">
        <v>0.12</v>
      </c>
      <c r="J14" s="31">
        <v>15.0250945620759</v>
      </c>
      <c r="K14" s="5">
        <f t="shared" si="1"/>
        <v>16.396508806466787</v>
      </c>
    </row>
    <row r="15" spans="2:11" s="5" customFormat="1" x14ac:dyDescent="0.55000000000000004">
      <c r="B15" s="8" t="s">
        <v>12</v>
      </c>
      <c r="C15" s="5">
        <v>12.750999999999999</v>
      </c>
      <c r="D15" s="5" t="s">
        <v>13</v>
      </c>
      <c r="F15" t="s">
        <v>129</v>
      </c>
      <c r="G15">
        <v>16</v>
      </c>
      <c r="H15">
        <v>5</v>
      </c>
      <c r="I15">
        <v>0.12</v>
      </c>
      <c r="J15" s="32">
        <v>17.2616246065895</v>
      </c>
      <c r="K15" s="5">
        <f t="shared" si="1"/>
        <v>18.83717794297625</v>
      </c>
    </row>
    <row r="16" spans="2:11" s="5" customFormat="1" x14ac:dyDescent="0.55000000000000004">
      <c r="B16" s="8" t="s">
        <v>14</v>
      </c>
      <c r="C16" s="5">
        <v>57.968000000000004</v>
      </c>
      <c r="D16" s="5" t="s">
        <v>13</v>
      </c>
      <c r="F16" t="s">
        <v>130</v>
      </c>
      <c r="G16">
        <v>17</v>
      </c>
      <c r="H16">
        <v>5</v>
      </c>
      <c r="I16">
        <v>0.12</v>
      </c>
      <c r="J16" s="31">
        <v>19.799043907088901</v>
      </c>
      <c r="K16" s="5">
        <f t="shared" si="1"/>
        <v>21.606199977043833</v>
      </c>
    </row>
    <row r="17" spans="2:16" s="5" customFormat="1" x14ac:dyDescent="0.55000000000000004">
      <c r="B17" s="8"/>
      <c r="F17" t="s">
        <v>131</v>
      </c>
      <c r="G17">
        <v>18</v>
      </c>
      <c r="H17">
        <v>5</v>
      </c>
      <c r="I17">
        <v>0.12</v>
      </c>
      <c r="J17" s="32">
        <v>21.8582968187322</v>
      </c>
      <c r="K17" s="5">
        <f t="shared" si="1"/>
        <v>23.853411025267466</v>
      </c>
    </row>
    <row r="18" spans="2:16" s="5" customFormat="1" ht="13.9" customHeight="1" x14ac:dyDescent="0.55000000000000004">
      <c r="B18" s="21" t="s">
        <v>19</v>
      </c>
      <c r="C18" s="16">
        <v>3.39</v>
      </c>
      <c r="D18" s="9" t="s">
        <v>9</v>
      </c>
      <c r="F18" t="s">
        <v>132</v>
      </c>
      <c r="G18">
        <v>19</v>
      </c>
      <c r="H18">
        <v>5</v>
      </c>
      <c r="I18">
        <v>0.12</v>
      </c>
      <c r="J18" s="31">
        <v>24.324153177168899</v>
      </c>
      <c r="K18" s="5">
        <f t="shared" si="1"/>
        <v>26.544338215745217</v>
      </c>
    </row>
    <row r="19" spans="2:16" s="12" customFormat="1" ht="13.9" customHeight="1" x14ac:dyDescent="0.55000000000000004">
      <c r="B19" s="21" t="s">
        <v>20</v>
      </c>
      <c r="C19" s="16">
        <v>4.16</v>
      </c>
      <c r="D19" s="9" t="s">
        <v>9</v>
      </c>
      <c r="F19" t="s">
        <v>133</v>
      </c>
      <c r="G19">
        <v>20</v>
      </c>
      <c r="H19">
        <v>5</v>
      </c>
      <c r="I19">
        <v>0.12</v>
      </c>
      <c r="J19" s="32">
        <v>26.970492520194298</v>
      </c>
      <c r="K19" s="5">
        <f t="shared" si="1"/>
        <v>29.432221960073583</v>
      </c>
    </row>
    <row r="20" spans="2:16" s="5" customFormat="1" ht="13.9" customHeight="1" x14ac:dyDescent="0.55000000000000004">
      <c r="L20" s="19"/>
      <c r="M20" s="19"/>
      <c r="O20" s="19"/>
      <c r="P20" s="19"/>
    </row>
    <row r="21" spans="2:16" s="5" customFormat="1" ht="13.9" customHeight="1" x14ac:dyDescent="0.55000000000000004">
      <c r="L21" s="19"/>
      <c r="M21" s="19"/>
      <c r="O21" s="19"/>
      <c r="P21" s="19"/>
    </row>
    <row r="22" spans="2:16" s="5" customFormat="1" ht="13.9" customHeight="1" x14ac:dyDescent="0.55000000000000004">
      <c r="J22" s="31">
        <v>9.2299160760375099</v>
      </c>
      <c r="K22" s="31">
        <v>10.034655393087876</v>
      </c>
      <c r="L22" s="19"/>
      <c r="M22" s="19"/>
      <c r="N22" s="10"/>
      <c r="O22" s="14"/>
      <c r="P22" s="10"/>
    </row>
    <row r="23" spans="2:16" s="5" customFormat="1" ht="13.9" customHeight="1" x14ac:dyDescent="0.55000000000000004">
      <c r="J23" s="32">
        <v>9.7243259399701998</v>
      </c>
      <c r="K23" s="35">
        <v>9.8217300583020091</v>
      </c>
      <c r="L23" s="19"/>
      <c r="M23" s="19"/>
      <c r="N23" s="10"/>
      <c r="O23" s="14"/>
      <c r="P23" s="10"/>
    </row>
    <row r="24" spans="2:16" s="5" customFormat="1" ht="13.9" customHeight="1" x14ac:dyDescent="0.55000000000000004">
      <c r="C24" s="26"/>
      <c r="J24" s="31">
        <v>28.4585939596695</v>
      </c>
      <c r="K24" s="31">
        <v>2.6885672736032604</v>
      </c>
      <c r="L24" s="19"/>
      <c r="M24" s="19"/>
      <c r="N24" s="10"/>
      <c r="O24" s="14"/>
      <c r="P24" s="10"/>
    </row>
    <row r="25" spans="2:16" s="5" customFormat="1" ht="13.9" customHeight="1" x14ac:dyDescent="0.55000000000000004">
      <c r="J25" s="32">
        <v>49.945226208892102</v>
      </c>
      <c r="K25" s="35">
        <v>4.1647441407379375</v>
      </c>
      <c r="L25" s="19"/>
      <c r="M25" s="19"/>
      <c r="N25" s="10"/>
      <c r="O25" s="14"/>
      <c r="P25" s="10"/>
    </row>
    <row r="26" spans="2:16" s="5" customFormat="1" ht="13.9" customHeight="1" x14ac:dyDescent="0.55000000000000004">
      <c r="L26" s="19"/>
      <c r="M26" s="19"/>
      <c r="N26" s="10"/>
      <c r="O26" s="14"/>
      <c r="P26" s="10"/>
    </row>
    <row r="27" spans="2:16" s="5" customFormat="1" ht="13.9" customHeight="1" x14ac:dyDescent="0.55000000000000004">
      <c r="L27" s="19"/>
      <c r="M27" s="19"/>
      <c r="N27" s="10"/>
      <c r="O27" s="14"/>
      <c r="P27" s="10"/>
    </row>
    <row r="28" spans="2:16" s="5" customFormat="1" ht="13.9" customHeight="1" x14ac:dyDescent="0.55000000000000004">
      <c r="L28" s="19"/>
      <c r="M28" s="19"/>
      <c r="N28" s="10"/>
      <c r="O28" s="14"/>
      <c r="P28" s="10"/>
    </row>
    <row r="29" spans="2:16" s="5" customFormat="1" ht="13.9" customHeight="1" x14ac:dyDescent="0.55000000000000004">
      <c r="L29" s="19"/>
      <c r="M29" s="19"/>
      <c r="N29" s="10"/>
      <c r="O29" s="14"/>
      <c r="P29" s="10"/>
    </row>
    <row r="30" spans="2:16" s="5" customFormat="1" x14ac:dyDescent="0.55000000000000004">
      <c r="H30" s="19"/>
      <c r="L30" s="19"/>
      <c r="M30" s="19"/>
      <c r="N30" s="10"/>
      <c r="O30" s="14"/>
      <c r="P30" s="10"/>
    </row>
    <row r="31" spans="2:16" s="5" customFormat="1" x14ac:dyDescent="0.55000000000000004">
      <c r="H31" s="19"/>
      <c r="L31" s="19"/>
      <c r="M31" s="19"/>
      <c r="N31" s="10"/>
      <c r="O31" s="14"/>
      <c r="P31" s="10"/>
    </row>
    <row r="32" spans="2:16" s="5" customFormat="1" x14ac:dyDescent="0.55000000000000004">
      <c r="H32" s="19"/>
      <c r="L32" s="19"/>
      <c r="M32" s="19"/>
      <c r="N32" s="10"/>
      <c r="O32" s="14"/>
      <c r="P32" s="10"/>
    </row>
    <row r="33" spans="2:39" s="5" customFormat="1" x14ac:dyDescent="0.55000000000000004">
      <c r="H33" s="19"/>
      <c r="L33" s="19"/>
      <c r="M33" s="19"/>
      <c r="N33" s="10"/>
      <c r="O33" s="14"/>
      <c r="P33" s="10"/>
    </row>
    <row r="34" spans="2:39" s="5" customFormat="1" x14ac:dyDescent="0.55000000000000004">
      <c r="H34" s="19"/>
      <c r="L34" s="19"/>
      <c r="M34" s="19"/>
      <c r="N34" s="10"/>
      <c r="O34" s="14"/>
      <c r="P34" s="10"/>
    </row>
    <row r="35" spans="2:39" s="5" customFormat="1" x14ac:dyDescent="0.55000000000000004">
      <c r="B35" s="16"/>
      <c r="C35" s="19"/>
      <c r="D35" s="19"/>
      <c r="E35" s="15"/>
      <c r="F35" s="17"/>
      <c r="H35" s="19"/>
      <c r="I35" s="9"/>
      <c r="J35" s="19"/>
      <c r="L35" s="19"/>
      <c r="M35" s="19"/>
      <c r="N35" s="10"/>
      <c r="O35" s="14"/>
      <c r="P35" s="10"/>
    </row>
    <row r="36" spans="2:39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39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</row>
    <row r="38" spans="2:39" s="5" customFormat="1" x14ac:dyDescent="0.55000000000000004">
      <c r="B38" s="16"/>
      <c r="C38" s="19"/>
      <c r="D38" s="19"/>
      <c r="E38" s="15"/>
      <c r="F38" s="17"/>
      <c r="I38" s="9"/>
      <c r="J38" s="19"/>
      <c r="K38" s="19"/>
    </row>
    <row r="39" spans="2:39" s="5" customFormat="1" x14ac:dyDescent="0.55000000000000004">
      <c r="B39" s="19"/>
      <c r="C39" s="19"/>
      <c r="D39" s="19"/>
      <c r="E39" s="19"/>
      <c r="F39" s="15"/>
      <c r="I39" s="9"/>
      <c r="J39" s="19"/>
      <c r="K39" s="19"/>
    </row>
    <row r="40" spans="2:39" s="5" customFormat="1" x14ac:dyDescent="0.55000000000000004">
      <c r="C40" s="8"/>
      <c r="E40" s="8"/>
      <c r="F40" s="18"/>
      <c r="H40" s="19"/>
      <c r="I40" s="19"/>
      <c r="J40" s="19"/>
      <c r="K40" s="19"/>
    </row>
    <row r="41" spans="2:39" s="5" customFormat="1" x14ac:dyDescent="0.55000000000000004">
      <c r="B41" s="8"/>
      <c r="H41" s="19"/>
      <c r="I41" s="19"/>
      <c r="J41" s="19"/>
      <c r="K41" s="19"/>
    </row>
    <row r="42" spans="2:39" x14ac:dyDescent="0.55000000000000004">
      <c r="B42" s="8"/>
      <c r="C42" s="5"/>
      <c r="D42" s="5"/>
      <c r="E42" s="5"/>
      <c r="H42" s="19"/>
    </row>
    <row r="43" spans="2:39" x14ac:dyDescent="0.55000000000000004">
      <c r="B43" s="8"/>
      <c r="C43" s="5"/>
      <c r="D43" s="5"/>
      <c r="E43" s="5"/>
    </row>
    <row r="45" spans="2:39" s="5" customFormat="1" x14ac:dyDescent="0.55000000000000004">
      <c r="H45" s="19"/>
      <c r="I45" s="19"/>
      <c r="J45" s="19"/>
      <c r="K45" s="19"/>
    </row>
    <row r="46" spans="2:39" s="5" customFormat="1" x14ac:dyDescent="0.55000000000000004">
      <c r="B46" s="8"/>
      <c r="H46" s="19"/>
      <c r="I46" s="19"/>
      <c r="J46" s="19"/>
      <c r="K46" s="19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2:39" s="5" customFormat="1" x14ac:dyDescent="0.55000000000000004">
      <c r="B47" s="8"/>
      <c r="H47" s="19"/>
      <c r="I47" s="19"/>
      <c r="J47" s="19"/>
      <c r="K47" s="19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2:39" s="5" customFormat="1" x14ac:dyDescent="0.55000000000000004">
      <c r="B48" s="8"/>
      <c r="H48" s="19"/>
      <c r="I48" s="19"/>
      <c r="J48" s="19"/>
      <c r="K48" s="19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2:39" s="5" customFormat="1" x14ac:dyDescent="0.55000000000000004">
      <c r="B49" s="8"/>
      <c r="H49" s="19"/>
      <c r="I49" s="19"/>
      <c r="J49" s="19"/>
      <c r="K49" s="1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2:39" s="5" customFormat="1" x14ac:dyDescent="0.55000000000000004">
      <c r="B50" s="8"/>
      <c r="H50" s="19"/>
      <c r="I50" s="19"/>
      <c r="J50" s="19"/>
      <c r="K50" s="19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2:39" s="5" customFormat="1" x14ac:dyDescent="0.55000000000000004">
      <c r="B51" s="8"/>
      <c r="H51" s="19"/>
      <c r="I51" s="19"/>
      <c r="J51" s="19"/>
      <c r="K51" s="19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2:39" s="5" customFormat="1" x14ac:dyDescent="0.55000000000000004">
      <c r="B52" s="8"/>
      <c r="H52" s="19"/>
      <c r="I52" s="19"/>
      <c r="J52" s="19"/>
      <c r="K52" s="19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2:39" s="5" customFormat="1" x14ac:dyDescent="0.55000000000000004">
      <c r="B53" s="8"/>
      <c r="H53" s="19"/>
      <c r="I53" s="19"/>
      <c r="J53" s="19"/>
      <c r="K53" s="19"/>
      <c r="Z53" s="1"/>
      <c r="AA53" s="2"/>
      <c r="AB53" s="2"/>
      <c r="AC53"/>
      <c r="AD53"/>
      <c r="AE53"/>
      <c r="AF53"/>
      <c r="AG53"/>
      <c r="AH53"/>
      <c r="AI53"/>
      <c r="AJ53"/>
      <c r="AK53"/>
      <c r="AL53"/>
      <c r="AM53"/>
    </row>
    <row r="54" spans="2:39" s="5" customFormat="1" x14ac:dyDescent="0.55000000000000004">
      <c r="B54" s="8"/>
      <c r="H54" s="19"/>
      <c r="I54" s="19"/>
      <c r="J54" s="19"/>
      <c r="K54" s="19"/>
      <c r="Z54" s="1"/>
      <c r="AA54" s="2"/>
      <c r="AB54" s="2"/>
      <c r="AC54"/>
      <c r="AD54"/>
      <c r="AE54"/>
      <c r="AF54"/>
      <c r="AG54"/>
      <c r="AH54"/>
      <c r="AI54"/>
      <c r="AJ54"/>
      <c r="AK54"/>
      <c r="AL54"/>
      <c r="AM54"/>
    </row>
    <row r="55" spans="2:39" s="5" customFormat="1" x14ac:dyDescent="0.55000000000000004">
      <c r="B55" s="8"/>
      <c r="H55" s="19"/>
      <c r="I55" s="19"/>
      <c r="J55" s="19"/>
      <c r="K55" s="19"/>
      <c r="Z55" s="1"/>
      <c r="AA55" s="3"/>
      <c r="AB55" s="3"/>
      <c r="AC55"/>
      <c r="AD55" s="4"/>
      <c r="AE55" s="4"/>
      <c r="AF55" s="1"/>
      <c r="AG55" s="1"/>
      <c r="AH55"/>
      <c r="AI55"/>
      <c r="AJ55"/>
      <c r="AK55"/>
      <c r="AL55"/>
      <c r="AM55"/>
    </row>
    <row r="56" spans="2:39" s="5" customFormat="1" x14ac:dyDescent="0.55000000000000004">
      <c r="B56" s="8"/>
      <c r="H56" s="19"/>
      <c r="I56" s="19"/>
      <c r="J56" s="19"/>
      <c r="K56" s="19"/>
      <c r="Z56" s="1"/>
      <c r="AA56" s="3"/>
      <c r="AB56" s="3"/>
      <c r="AC56"/>
      <c r="AD56" s="4"/>
      <c r="AE56" s="4"/>
      <c r="AF56" s="1"/>
      <c r="AG56" s="1"/>
      <c r="AH56"/>
      <c r="AI56"/>
      <c r="AJ56"/>
      <c r="AK56"/>
      <c r="AL56"/>
      <c r="AM56"/>
    </row>
    <row r="57" spans="2:39" s="5" customFormat="1" x14ac:dyDescent="0.55000000000000004">
      <c r="B57" s="8"/>
      <c r="H57" s="19"/>
      <c r="I57" s="19"/>
      <c r="J57" s="19"/>
      <c r="K57" s="19"/>
      <c r="Z57" s="1"/>
      <c r="AA57" s="3"/>
      <c r="AB57" s="3"/>
      <c r="AC57"/>
      <c r="AD57" s="4"/>
      <c r="AE57" s="4"/>
      <c r="AF57" s="1"/>
      <c r="AG57" s="1"/>
      <c r="AH57"/>
      <c r="AI57"/>
      <c r="AJ57"/>
      <c r="AK57"/>
      <c r="AL57"/>
      <c r="AM57"/>
    </row>
    <row r="58" spans="2:39" s="5" customFormat="1" x14ac:dyDescent="0.55000000000000004">
      <c r="B58" s="8"/>
      <c r="H58" s="19"/>
      <c r="I58" s="19"/>
      <c r="J58" s="19"/>
      <c r="K58" s="19"/>
      <c r="Z58" s="1"/>
      <c r="AA58" s="3"/>
      <c r="AB58" s="3"/>
      <c r="AC58"/>
      <c r="AD58" s="4"/>
      <c r="AE58" s="4"/>
      <c r="AF58" s="1"/>
      <c r="AG58" s="1"/>
      <c r="AH58"/>
      <c r="AI58"/>
      <c r="AJ58"/>
      <c r="AK58"/>
      <c r="AL58"/>
      <c r="AM58"/>
    </row>
    <row r="59" spans="2:39" s="5" customFormat="1" x14ac:dyDescent="0.55000000000000004">
      <c r="B59" s="8"/>
      <c r="H59" s="19"/>
      <c r="I59" s="19"/>
      <c r="J59" s="19"/>
      <c r="K59" s="19"/>
      <c r="Z59" s="1"/>
      <c r="AA59" s="3"/>
      <c r="AB59" s="3"/>
      <c r="AC59"/>
      <c r="AD59" s="4"/>
      <c r="AE59" s="4"/>
      <c r="AF59" s="1"/>
      <c r="AG59" s="1"/>
      <c r="AH59"/>
      <c r="AI59"/>
      <c r="AJ59"/>
      <c r="AK59"/>
      <c r="AL59"/>
      <c r="AM59"/>
    </row>
    <row r="60" spans="2:39" s="5" customFormat="1" x14ac:dyDescent="0.55000000000000004">
      <c r="B60" s="8"/>
      <c r="H60" s="19"/>
      <c r="I60" s="19"/>
      <c r="J60" s="19"/>
      <c r="K60" s="19"/>
      <c r="Z60" s="1"/>
      <c r="AA60" s="3"/>
      <c r="AB60" s="3"/>
      <c r="AC60"/>
      <c r="AD60" s="4"/>
      <c r="AE60" s="4"/>
      <c r="AF60" s="1"/>
      <c r="AG60" s="1"/>
      <c r="AH60"/>
      <c r="AI60"/>
      <c r="AJ60"/>
      <c r="AK60"/>
      <c r="AL60"/>
      <c r="AM60"/>
    </row>
    <row r="61" spans="2:39" s="5" customFormat="1" x14ac:dyDescent="0.55000000000000004">
      <c r="B61" s="8"/>
      <c r="H61" s="19"/>
      <c r="I61" s="19"/>
      <c r="J61" s="19"/>
      <c r="K61" s="19"/>
      <c r="Z61" s="1"/>
      <c r="AA61" s="2"/>
      <c r="AB61" s="2"/>
      <c r="AC61"/>
      <c r="AD61"/>
      <c r="AE61"/>
      <c r="AF61"/>
      <c r="AG61"/>
      <c r="AH61"/>
      <c r="AI61"/>
      <c r="AJ61"/>
      <c r="AK61"/>
      <c r="AL61"/>
      <c r="AM61"/>
    </row>
    <row r="62" spans="2:39" s="5" customFormat="1" x14ac:dyDescent="0.55000000000000004">
      <c r="B62" s="8"/>
      <c r="H62" s="19"/>
      <c r="I62" s="19"/>
      <c r="J62" s="19"/>
      <c r="K62" s="19"/>
      <c r="Z62" s="1"/>
      <c r="AA62" s="2"/>
      <c r="AB62" s="2"/>
      <c r="AC62"/>
      <c r="AD62"/>
      <c r="AE62"/>
      <c r="AF62"/>
      <c r="AG62"/>
      <c r="AH62"/>
      <c r="AI62"/>
      <c r="AJ62"/>
      <c r="AK62"/>
      <c r="AL62"/>
      <c r="AM62"/>
    </row>
  </sheetData>
  <mergeCells count="3">
    <mergeCell ref="F2:J2"/>
    <mergeCell ref="F4:F5"/>
    <mergeCell ref="G4:G5"/>
  </mergeCells>
  <phoneticPr fontId="5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8610-0BAD-4DD2-80BB-59A46127537C}">
  <dimension ref="B1:AM62"/>
  <sheetViews>
    <sheetView tabSelected="1" zoomScale="80" zoomScaleNormal="80" workbookViewId="0">
      <selection activeCell="K6" sqref="K6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7.1015625" bestFit="1" customWidth="1"/>
    <col min="4" max="4" width="13.26171875" customWidth="1"/>
    <col min="5" max="5" width="15.83984375" customWidth="1"/>
    <col min="6" max="6" width="43.3671875" bestFit="1" customWidth="1"/>
    <col min="7" max="7" width="5.5234375" bestFit="1" customWidth="1"/>
    <col min="8" max="8" width="14.83984375" style="7" bestFit="1" customWidth="1"/>
    <col min="9" max="9" width="6.68359375" style="7" bestFit="1" customWidth="1"/>
    <col min="10" max="10" width="7.47265625" style="7" bestFit="1" customWidth="1"/>
    <col min="11" max="11" width="11.68359375" style="7" bestFit="1" customWidth="1"/>
    <col min="12" max="12" width="37.9453125" bestFit="1" customWidth="1"/>
    <col min="14" max="14" width="18" customWidth="1"/>
    <col min="15" max="16" width="15.734375" customWidth="1"/>
    <col min="17" max="17" width="14.7890625" customWidth="1"/>
  </cols>
  <sheetData>
    <row r="1" spans="2:11" s="5" customFormat="1" x14ac:dyDescent="0.55000000000000004">
      <c r="H1" s="19"/>
      <c r="I1" s="19"/>
      <c r="J1" s="19"/>
      <c r="K1" s="19"/>
    </row>
    <row r="2" spans="2:11" s="5" customFormat="1" x14ac:dyDescent="0.55000000000000004">
      <c r="B2" s="8"/>
      <c r="F2" s="36" t="s">
        <v>119</v>
      </c>
      <c r="G2" s="36"/>
      <c r="H2" s="36"/>
      <c r="I2" s="36"/>
      <c r="J2" s="36"/>
      <c r="K2" s="19"/>
    </row>
    <row r="3" spans="2:11" s="5" customFormat="1" x14ac:dyDescent="0.55000000000000004">
      <c r="B3" s="8" t="s">
        <v>0</v>
      </c>
      <c r="C3" s="5" t="s">
        <v>152</v>
      </c>
      <c r="F3" s="16"/>
      <c r="G3" s="22"/>
      <c r="H3" s="22"/>
      <c r="I3" s="22"/>
      <c r="J3" s="22"/>
    </row>
    <row r="4" spans="2:11" s="5" customFormat="1" ht="28.8" x14ac:dyDescent="0.55000000000000004">
      <c r="B4" s="8"/>
      <c r="F4" s="37" t="s">
        <v>15</v>
      </c>
      <c r="G4" s="37" t="s">
        <v>7</v>
      </c>
      <c r="H4" s="20" t="s">
        <v>21</v>
      </c>
      <c r="I4" s="22" t="s">
        <v>16</v>
      </c>
      <c r="J4" s="22" t="s">
        <v>22</v>
      </c>
      <c r="K4" s="12" t="s">
        <v>23</v>
      </c>
    </row>
    <row r="5" spans="2:11" s="5" customFormat="1" x14ac:dyDescent="0.55000000000000004">
      <c r="B5" s="8" t="s">
        <v>1</v>
      </c>
      <c r="C5" s="5" t="s">
        <v>25</v>
      </c>
      <c r="F5" s="37"/>
      <c r="G5" s="37"/>
      <c r="H5" s="22" t="s">
        <v>17</v>
      </c>
      <c r="I5" s="22" t="s">
        <v>17</v>
      </c>
      <c r="J5" s="22" t="s">
        <v>18</v>
      </c>
      <c r="K5" s="5" t="s">
        <v>24</v>
      </c>
    </row>
    <row r="6" spans="2:11" s="5" customFormat="1" x14ac:dyDescent="0.55000000000000004">
      <c r="B6" s="8" t="s">
        <v>2</v>
      </c>
      <c r="C6" s="5">
        <v>1</v>
      </c>
      <c r="F6" t="s">
        <v>134</v>
      </c>
      <c r="G6">
        <v>21</v>
      </c>
      <c r="H6">
        <v>5</v>
      </c>
      <c r="I6">
        <v>0.12</v>
      </c>
      <c r="J6" s="31">
        <v>14.2232597098974</v>
      </c>
      <c r="K6" s="5">
        <f>(J6*(H6+I6)/I6)/39.098</f>
        <v>15.521486545491394</v>
      </c>
    </row>
    <row r="7" spans="2:11" s="5" customFormat="1" x14ac:dyDescent="0.55000000000000004">
      <c r="B7" s="8" t="s">
        <v>3</v>
      </c>
      <c r="C7" s="5" t="s">
        <v>26</v>
      </c>
      <c r="F7" t="s">
        <v>135</v>
      </c>
      <c r="G7">
        <v>22</v>
      </c>
      <c r="H7">
        <v>5</v>
      </c>
      <c r="I7">
        <v>1.2E-2</v>
      </c>
      <c r="J7" s="32">
        <v>11.626059797634801</v>
      </c>
      <c r="K7" s="5">
        <f t="shared" ref="K6:K11" si="0">(J7*(H7+I7)/I7)/39.098</f>
        <v>124.19606225754433</v>
      </c>
    </row>
    <row r="8" spans="2:11" s="5" customFormat="1" x14ac:dyDescent="0.55000000000000004">
      <c r="B8" s="8" t="s">
        <v>4</v>
      </c>
      <c r="C8" s="5">
        <v>15</v>
      </c>
      <c r="D8" s="5" t="s">
        <v>5</v>
      </c>
      <c r="F8" t="s">
        <v>136</v>
      </c>
      <c r="G8">
        <v>23</v>
      </c>
      <c r="H8">
        <v>5</v>
      </c>
      <c r="I8">
        <v>1.2E-2</v>
      </c>
      <c r="J8" s="31">
        <v>7.8489621977383104</v>
      </c>
      <c r="K8" s="5">
        <f t="shared" si="0"/>
        <v>83.846996724181125</v>
      </c>
    </row>
    <row r="9" spans="2:11" s="5" customFormat="1" x14ac:dyDescent="0.55000000000000004">
      <c r="B9" s="8" t="s">
        <v>6</v>
      </c>
      <c r="C9" s="5">
        <v>120</v>
      </c>
      <c r="D9" s="5" t="s">
        <v>5</v>
      </c>
      <c r="F9" t="s">
        <v>137</v>
      </c>
      <c r="G9">
        <v>24</v>
      </c>
      <c r="H9">
        <v>5</v>
      </c>
      <c r="I9">
        <v>1.2E-2</v>
      </c>
      <c r="J9" s="32">
        <v>8.8156292027333691</v>
      </c>
      <c r="K9" s="5">
        <f t="shared" si="0"/>
        <v>94.173473417437464</v>
      </c>
    </row>
    <row r="10" spans="2:11" s="5" customFormat="1" x14ac:dyDescent="0.55000000000000004">
      <c r="B10" s="8"/>
      <c r="F10" t="s">
        <v>138</v>
      </c>
      <c r="G10">
        <v>25</v>
      </c>
      <c r="H10">
        <v>5</v>
      </c>
      <c r="I10">
        <v>2.5000000000000001E-2</v>
      </c>
      <c r="J10" s="31">
        <v>2.7178963181991298</v>
      </c>
      <c r="K10" s="5">
        <f t="shared" si="0"/>
        <v>13.972509078674742</v>
      </c>
    </row>
    <row r="11" spans="2:11" s="5" customFormat="1" x14ac:dyDescent="0.55000000000000004">
      <c r="B11" s="8" t="s">
        <v>8</v>
      </c>
      <c r="C11" s="5">
        <v>31.92</v>
      </c>
      <c r="D11" s="5" t="s">
        <v>9</v>
      </c>
      <c r="F11" t="s">
        <v>139</v>
      </c>
      <c r="G11">
        <v>26</v>
      </c>
      <c r="H11">
        <v>5</v>
      </c>
      <c r="I11">
        <v>2.5000000000000001E-2</v>
      </c>
      <c r="J11" s="32">
        <v>3.9732824314308299</v>
      </c>
      <c r="K11" s="5">
        <f t="shared" si="0"/>
        <v>20.426358604470735</v>
      </c>
    </row>
    <row r="12" spans="2:11" s="5" customFormat="1" x14ac:dyDescent="0.55000000000000004">
      <c r="B12" s="8" t="s">
        <v>10</v>
      </c>
      <c r="C12" s="5">
        <v>42.05</v>
      </c>
      <c r="D12" s="5" t="s">
        <v>9</v>
      </c>
      <c r="F12" t="s">
        <v>140</v>
      </c>
      <c r="G12">
        <v>27</v>
      </c>
      <c r="H12">
        <v>5</v>
      </c>
      <c r="I12">
        <v>2.5000000000000001E-2</v>
      </c>
      <c r="J12" s="31">
        <v>5.7830579468632104</v>
      </c>
      <c r="K12" s="5">
        <f>(J12*(H12+I12)/I12)/39.098</f>
        <v>29.730284089199074</v>
      </c>
    </row>
    <row r="13" spans="2:11" s="5" customFormat="1" x14ac:dyDescent="0.55000000000000004">
      <c r="B13" s="8" t="s">
        <v>11</v>
      </c>
      <c r="C13" s="5">
        <v>41.8</v>
      </c>
      <c r="D13" s="5" t="s">
        <v>9</v>
      </c>
      <c r="F13" t="s">
        <v>141</v>
      </c>
      <c r="G13">
        <v>28</v>
      </c>
      <c r="H13">
        <v>5</v>
      </c>
      <c r="I13">
        <v>2.5000000000000001E-2</v>
      </c>
      <c r="J13" s="32">
        <v>6.98813725203006</v>
      </c>
      <c r="K13" s="5">
        <f t="shared" ref="K13:K19" si="1">(J13*(H13+I13)/I13)/39.098</f>
        <v>35.925509940611853</v>
      </c>
    </row>
    <row r="14" spans="2:11" s="5" customFormat="1" x14ac:dyDescent="0.55000000000000004">
      <c r="B14" s="8"/>
      <c r="F14" t="s">
        <v>142</v>
      </c>
      <c r="G14">
        <v>29</v>
      </c>
      <c r="H14">
        <v>5</v>
      </c>
      <c r="I14">
        <v>2.5000000000000001E-2</v>
      </c>
      <c r="J14" s="31">
        <v>8.5688118319535693</v>
      </c>
      <c r="K14" s="5">
        <f t="shared" si="1"/>
        <v>44.051644028407274</v>
      </c>
    </row>
    <row r="15" spans="2:11" s="5" customFormat="1" x14ac:dyDescent="0.55000000000000004">
      <c r="B15" s="8" t="s">
        <v>12</v>
      </c>
      <c r="C15" s="5">
        <v>0.13800000000000001</v>
      </c>
      <c r="D15" s="5" t="s">
        <v>13</v>
      </c>
      <c r="F15" t="s">
        <v>143</v>
      </c>
      <c r="G15">
        <v>30</v>
      </c>
      <c r="H15">
        <v>5</v>
      </c>
      <c r="I15">
        <v>2.5000000000000001E-2</v>
      </c>
      <c r="J15" s="32">
        <v>9.7661409460871695</v>
      </c>
      <c r="K15" s="5">
        <f t="shared" si="1"/>
        <v>50.207026706315439</v>
      </c>
    </row>
    <row r="16" spans="2:11" s="5" customFormat="1" x14ac:dyDescent="0.55000000000000004">
      <c r="B16" s="8" t="s">
        <v>14</v>
      </c>
      <c r="C16" s="5">
        <v>20.972999999999999</v>
      </c>
      <c r="D16" s="5" t="s">
        <v>13</v>
      </c>
      <c r="F16" t="s">
        <v>144</v>
      </c>
      <c r="G16">
        <v>31</v>
      </c>
      <c r="H16">
        <v>5</v>
      </c>
      <c r="I16">
        <v>2.5000000000000001E-2</v>
      </c>
      <c r="J16" s="31">
        <v>10.865526234756601</v>
      </c>
      <c r="K16" s="5">
        <f t="shared" si="1"/>
        <v>55.858887236842726</v>
      </c>
    </row>
    <row r="17" spans="2:16" s="5" customFormat="1" x14ac:dyDescent="0.55000000000000004">
      <c r="B17" s="8"/>
      <c r="F17" t="s">
        <v>145</v>
      </c>
      <c r="G17">
        <v>32</v>
      </c>
      <c r="H17">
        <v>5</v>
      </c>
      <c r="I17">
        <v>2.5000000000000001E-2</v>
      </c>
      <c r="J17" s="32">
        <v>12.141606777958099</v>
      </c>
      <c r="K17" s="5">
        <f t="shared" si="1"/>
        <v>62.419125335556238</v>
      </c>
    </row>
    <row r="18" spans="2:16" s="5" customFormat="1" ht="13.9" customHeight="1" x14ac:dyDescent="0.55000000000000004">
      <c r="B18" s="21" t="s">
        <v>19</v>
      </c>
      <c r="C18" s="16">
        <v>3.41</v>
      </c>
      <c r="D18" s="9" t="s">
        <v>9</v>
      </c>
      <c r="F18" t="s">
        <v>146</v>
      </c>
      <c r="G18">
        <v>33</v>
      </c>
      <c r="H18">
        <v>5</v>
      </c>
      <c r="I18">
        <v>2.5000000000000001E-2</v>
      </c>
      <c r="J18" s="31">
        <v>13.420302106504501</v>
      </c>
      <c r="K18" s="5">
        <f t="shared" si="1"/>
        <v>68.992805857266475</v>
      </c>
    </row>
    <row r="19" spans="2:16" s="12" customFormat="1" ht="13.9" customHeight="1" x14ac:dyDescent="0.55000000000000004">
      <c r="B19" s="21" t="s">
        <v>20</v>
      </c>
      <c r="C19" s="16">
        <v>4.2</v>
      </c>
      <c r="D19" s="9" t="s">
        <v>9</v>
      </c>
      <c r="F19" t="s">
        <v>147</v>
      </c>
      <c r="G19">
        <v>34</v>
      </c>
      <c r="H19">
        <v>5</v>
      </c>
      <c r="I19">
        <v>2.5000000000000001E-2</v>
      </c>
      <c r="J19" s="32">
        <v>14.430627058488801</v>
      </c>
      <c r="K19" s="5">
        <f t="shared" si="1"/>
        <v>74.186813615945809</v>
      </c>
    </row>
    <row r="20" spans="2:16" s="5" customFormat="1" ht="13.9" customHeight="1" x14ac:dyDescent="0.55000000000000004">
      <c r="M20" s="19"/>
      <c r="O20" s="19"/>
      <c r="P20" s="19"/>
    </row>
    <row r="21" spans="2:16" s="5" customFormat="1" ht="13.9" customHeight="1" x14ac:dyDescent="0.55000000000000004">
      <c r="F21" s="38" t="s">
        <v>153</v>
      </c>
      <c r="G21" s="38"/>
      <c r="H21" s="38"/>
      <c r="I21" s="38"/>
      <c r="J21" s="38"/>
      <c r="K21" s="38"/>
      <c r="L21" s="38"/>
      <c r="M21" s="19"/>
      <c r="O21" s="19"/>
      <c r="P21" s="19"/>
    </row>
    <row r="22" spans="2:16" s="5" customFormat="1" ht="13.9" customHeight="1" x14ac:dyDescent="0.55000000000000004">
      <c r="F22" t="s">
        <v>148</v>
      </c>
      <c r="G22">
        <v>35</v>
      </c>
      <c r="H22" s="5">
        <v>5</v>
      </c>
      <c r="I22">
        <v>0.12</v>
      </c>
      <c r="J22" s="31">
        <v>9.9422413653857706</v>
      </c>
      <c r="K22" s="5">
        <f>(J22*(H22+I22)/I22)/39.098</f>
        <v>10.849718611091605</v>
      </c>
      <c r="L22" s="19" t="s">
        <v>150</v>
      </c>
      <c r="M22" s="19"/>
      <c r="N22" s="10"/>
      <c r="O22" s="14"/>
      <c r="P22" s="10"/>
    </row>
    <row r="23" spans="2:16" s="5" customFormat="1" ht="13.9" customHeight="1" x14ac:dyDescent="0.55000000000000004">
      <c r="F23" t="s">
        <v>149</v>
      </c>
      <c r="G23">
        <v>36</v>
      </c>
      <c r="H23" s="5">
        <v>5</v>
      </c>
      <c r="I23">
        <v>0.12</v>
      </c>
      <c r="J23" s="32">
        <v>7.1731143737117398</v>
      </c>
      <c r="K23" s="5">
        <f>(J23*(H23+I23)/I23)/39.098</f>
        <v>7.827839785795546</v>
      </c>
      <c r="L23" s="19" t="s">
        <v>154</v>
      </c>
      <c r="M23" s="19"/>
      <c r="N23" s="10"/>
      <c r="O23" s="14"/>
      <c r="P23" s="10"/>
    </row>
    <row r="24" spans="2:16" s="5" customFormat="1" ht="13.9" customHeight="1" x14ac:dyDescent="0.55000000000000004">
      <c r="C24" s="26"/>
      <c r="L24" s="19"/>
      <c r="M24" s="19"/>
      <c r="N24" s="10"/>
      <c r="O24" s="14"/>
      <c r="P24" s="10"/>
    </row>
    <row r="25" spans="2:16" s="5" customFormat="1" ht="13.9" customHeight="1" x14ac:dyDescent="0.55000000000000004">
      <c r="L25" s="19"/>
      <c r="M25" s="19"/>
      <c r="N25" s="10"/>
      <c r="O25" s="14"/>
      <c r="P25" s="10"/>
    </row>
    <row r="26" spans="2:16" s="5" customFormat="1" ht="13.9" customHeight="1" x14ac:dyDescent="0.55000000000000004">
      <c r="L26" s="19"/>
      <c r="M26" s="19"/>
      <c r="N26" s="10"/>
      <c r="O26" s="14"/>
      <c r="P26" s="10"/>
    </row>
    <row r="27" spans="2:16" s="5" customFormat="1" ht="13.9" customHeight="1" x14ac:dyDescent="0.55000000000000004">
      <c r="G27"/>
      <c r="L27" s="19"/>
      <c r="M27" s="19"/>
      <c r="N27" s="10"/>
      <c r="O27" s="14"/>
      <c r="P27" s="10"/>
    </row>
    <row r="28" spans="2:16" s="5" customFormat="1" ht="13.9" customHeight="1" x14ac:dyDescent="0.55000000000000004">
      <c r="G28"/>
      <c r="L28" s="19"/>
      <c r="M28" s="19"/>
      <c r="N28" s="10"/>
      <c r="O28" s="14"/>
      <c r="P28" s="10"/>
    </row>
    <row r="29" spans="2:16" s="5" customFormat="1" ht="13.9" customHeight="1" x14ac:dyDescent="0.55000000000000004">
      <c r="G29"/>
      <c r="L29" s="19"/>
      <c r="M29" s="19"/>
      <c r="N29" s="10"/>
      <c r="O29" s="14"/>
      <c r="P29" s="10"/>
    </row>
    <row r="30" spans="2:16" s="5" customFormat="1" x14ac:dyDescent="0.55000000000000004">
      <c r="G30"/>
      <c r="L30" s="19"/>
      <c r="M30" s="19"/>
      <c r="N30" s="10"/>
      <c r="O30" s="14"/>
      <c r="P30" s="10"/>
    </row>
    <row r="31" spans="2:16" s="5" customFormat="1" x14ac:dyDescent="0.55000000000000004">
      <c r="G31"/>
      <c r="L31" s="19"/>
      <c r="M31" s="19"/>
      <c r="N31" s="10"/>
      <c r="O31" s="14"/>
      <c r="P31" s="10"/>
    </row>
    <row r="32" spans="2:16" s="5" customFormat="1" x14ac:dyDescent="0.55000000000000004">
      <c r="G32"/>
      <c r="L32" s="19"/>
      <c r="M32" s="19"/>
      <c r="N32" s="10"/>
      <c r="O32" s="14"/>
      <c r="P32" s="10"/>
    </row>
    <row r="33" spans="2:39" s="5" customFormat="1" x14ac:dyDescent="0.55000000000000004">
      <c r="G33"/>
      <c r="L33" s="19"/>
      <c r="M33" s="19"/>
      <c r="N33" s="10"/>
      <c r="O33" s="14"/>
      <c r="P33" s="10"/>
    </row>
    <row r="34" spans="2:39" s="5" customFormat="1" x14ac:dyDescent="0.55000000000000004">
      <c r="G34"/>
      <c r="L34" s="19"/>
      <c r="M34" s="19"/>
      <c r="N34" s="10"/>
      <c r="O34" s="14"/>
      <c r="P34" s="10"/>
    </row>
    <row r="35" spans="2:39" s="5" customFormat="1" x14ac:dyDescent="0.55000000000000004">
      <c r="B35" s="16"/>
      <c r="C35" s="19"/>
      <c r="D35" s="19"/>
      <c r="E35" s="15"/>
      <c r="G35"/>
      <c r="I35" s="9"/>
      <c r="J35" s="19"/>
      <c r="K35" s="19"/>
      <c r="L35" s="19"/>
      <c r="M35" s="19"/>
      <c r="N35" s="10"/>
      <c r="O35" s="14"/>
      <c r="P35" s="10"/>
    </row>
    <row r="36" spans="2:39" s="5" customFormat="1" x14ac:dyDescent="0.55000000000000004">
      <c r="B36" s="16"/>
      <c r="C36" s="19"/>
      <c r="D36" s="19"/>
      <c r="E36" s="15"/>
      <c r="G36"/>
      <c r="I36" s="11"/>
    </row>
    <row r="37" spans="2:39" s="5" customFormat="1" x14ac:dyDescent="0.55000000000000004">
      <c r="B37" s="16"/>
      <c r="C37" s="19"/>
      <c r="D37" s="19"/>
      <c r="E37" s="15"/>
      <c r="G37"/>
      <c r="I37" s="9"/>
      <c r="J37" s="19"/>
      <c r="K37" s="19"/>
    </row>
    <row r="38" spans="2:39" s="5" customFormat="1" x14ac:dyDescent="0.55000000000000004">
      <c r="B38" s="16"/>
      <c r="C38" s="19"/>
      <c r="D38" s="19"/>
      <c r="E38" s="15"/>
      <c r="G38"/>
      <c r="I38" s="9"/>
      <c r="J38" s="19"/>
      <c r="K38" s="19"/>
    </row>
    <row r="39" spans="2:39" s="5" customFormat="1" x14ac:dyDescent="0.55000000000000004">
      <c r="B39" s="19"/>
      <c r="C39" s="19"/>
      <c r="D39" s="19"/>
      <c r="E39" s="19"/>
      <c r="G39"/>
      <c r="I39" s="9"/>
      <c r="J39" s="19"/>
      <c r="K39" s="19"/>
    </row>
    <row r="40" spans="2:39" s="5" customFormat="1" x14ac:dyDescent="0.55000000000000004">
      <c r="C40" s="8"/>
      <c r="E40" s="8"/>
      <c r="G40"/>
      <c r="I40" s="19"/>
      <c r="J40" s="19"/>
      <c r="K40" s="19"/>
    </row>
    <row r="41" spans="2:39" s="5" customFormat="1" x14ac:dyDescent="0.55000000000000004">
      <c r="B41" s="8"/>
      <c r="G41"/>
      <c r="I41" s="19"/>
      <c r="J41" s="19"/>
      <c r="K41" s="19"/>
    </row>
    <row r="42" spans="2:39" x14ac:dyDescent="0.55000000000000004">
      <c r="B42" s="8"/>
      <c r="C42" s="5"/>
      <c r="D42" s="5"/>
      <c r="E42" s="5"/>
    </row>
    <row r="43" spans="2:39" x14ac:dyDescent="0.55000000000000004">
      <c r="B43" s="8"/>
      <c r="C43" s="5"/>
      <c r="D43" s="5"/>
      <c r="E43" s="5"/>
    </row>
    <row r="45" spans="2:39" s="5" customFormat="1" x14ac:dyDescent="0.55000000000000004">
      <c r="H45" s="19"/>
      <c r="I45" s="19"/>
      <c r="J45" s="19"/>
      <c r="K45" s="19"/>
    </row>
    <row r="46" spans="2:39" s="5" customFormat="1" x14ac:dyDescent="0.55000000000000004">
      <c r="B46" s="8"/>
      <c r="H46" s="19"/>
      <c r="I46" s="19"/>
      <c r="J46" s="19"/>
      <c r="K46" s="19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2:39" s="5" customFormat="1" x14ac:dyDescent="0.55000000000000004">
      <c r="B47" s="8"/>
      <c r="H47" s="19"/>
      <c r="I47" s="19"/>
      <c r="J47" s="19"/>
      <c r="K47" s="19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2:39" s="5" customFormat="1" x14ac:dyDescent="0.55000000000000004">
      <c r="B48" s="8"/>
      <c r="H48" s="19"/>
      <c r="I48" s="19"/>
      <c r="J48" s="19"/>
      <c r="K48" s="19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2:39" s="5" customFormat="1" x14ac:dyDescent="0.55000000000000004">
      <c r="B49" s="8"/>
      <c r="H49" s="19"/>
      <c r="I49" s="19"/>
      <c r="J49" s="19"/>
      <c r="K49" s="1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2:39" s="5" customFormat="1" x14ac:dyDescent="0.55000000000000004">
      <c r="B50" s="8"/>
      <c r="H50" s="19"/>
      <c r="I50" s="19"/>
      <c r="J50" s="19"/>
      <c r="K50" s="19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2:39" s="5" customFormat="1" x14ac:dyDescent="0.55000000000000004">
      <c r="B51" s="8"/>
      <c r="H51" s="19"/>
      <c r="I51" s="19"/>
      <c r="J51" s="19"/>
      <c r="K51" s="19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2:39" s="5" customFormat="1" x14ac:dyDescent="0.55000000000000004">
      <c r="B52" s="8"/>
      <c r="H52" s="19"/>
      <c r="I52" s="19"/>
      <c r="J52" s="19"/>
      <c r="K52" s="19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2:39" s="5" customFormat="1" x14ac:dyDescent="0.55000000000000004">
      <c r="B53" s="8"/>
      <c r="H53" s="19"/>
      <c r="I53" s="19"/>
      <c r="J53" s="19"/>
      <c r="K53" s="19"/>
      <c r="Z53" s="1"/>
      <c r="AA53" s="2"/>
      <c r="AB53" s="2"/>
      <c r="AC53"/>
      <c r="AD53"/>
      <c r="AE53"/>
      <c r="AF53"/>
      <c r="AG53"/>
      <c r="AH53"/>
      <c r="AI53"/>
      <c r="AJ53"/>
      <c r="AK53"/>
      <c r="AL53"/>
      <c r="AM53"/>
    </row>
    <row r="54" spans="2:39" s="5" customFormat="1" x14ac:dyDescent="0.55000000000000004">
      <c r="B54" s="8"/>
      <c r="H54" s="19"/>
      <c r="I54" s="19"/>
      <c r="J54" s="19"/>
      <c r="K54" s="19"/>
      <c r="Z54" s="1"/>
      <c r="AA54" s="2"/>
      <c r="AB54" s="2"/>
      <c r="AC54"/>
      <c r="AD54"/>
      <c r="AE54"/>
      <c r="AF54"/>
      <c r="AG54"/>
      <c r="AH54"/>
      <c r="AI54"/>
      <c r="AJ54"/>
      <c r="AK54"/>
      <c r="AL54"/>
      <c r="AM54"/>
    </row>
    <row r="55" spans="2:39" s="5" customFormat="1" x14ac:dyDescent="0.55000000000000004">
      <c r="B55" s="8"/>
      <c r="H55" s="19"/>
      <c r="I55" s="19"/>
      <c r="J55" s="19"/>
      <c r="K55" s="19"/>
      <c r="Z55" s="1"/>
      <c r="AA55" s="3"/>
      <c r="AB55" s="3"/>
      <c r="AC55"/>
      <c r="AD55" s="4"/>
      <c r="AE55" s="4"/>
      <c r="AF55" s="1"/>
      <c r="AG55" s="1"/>
      <c r="AH55"/>
      <c r="AI55"/>
      <c r="AJ55"/>
      <c r="AK55"/>
      <c r="AL55"/>
      <c r="AM55"/>
    </row>
    <row r="56" spans="2:39" s="5" customFormat="1" x14ac:dyDescent="0.55000000000000004">
      <c r="B56" s="8"/>
      <c r="H56" s="19"/>
      <c r="I56" s="19"/>
      <c r="J56" s="19"/>
      <c r="K56" s="19"/>
      <c r="Z56" s="1"/>
      <c r="AA56" s="3"/>
      <c r="AB56" s="3"/>
      <c r="AC56"/>
      <c r="AD56" s="4"/>
      <c r="AE56" s="4"/>
      <c r="AF56" s="1"/>
      <c r="AG56" s="1"/>
      <c r="AH56"/>
      <c r="AI56"/>
      <c r="AJ56"/>
      <c r="AK56"/>
      <c r="AL56"/>
      <c r="AM56"/>
    </row>
    <row r="57" spans="2:39" s="5" customFormat="1" x14ac:dyDescent="0.55000000000000004">
      <c r="B57" s="8"/>
      <c r="H57" s="19"/>
      <c r="I57" s="19"/>
      <c r="J57" s="19"/>
      <c r="K57" s="19"/>
      <c r="Z57" s="1"/>
      <c r="AA57" s="3"/>
      <c r="AB57" s="3"/>
      <c r="AC57"/>
      <c r="AD57" s="4"/>
      <c r="AE57" s="4"/>
      <c r="AF57" s="1"/>
      <c r="AG57" s="1"/>
      <c r="AH57"/>
      <c r="AI57"/>
      <c r="AJ57"/>
      <c r="AK57"/>
      <c r="AL57"/>
      <c r="AM57"/>
    </row>
    <row r="58" spans="2:39" s="5" customFormat="1" x14ac:dyDescent="0.55000000000000004">
      <c r="B58" s="8"/>
      <c r="H58" s="19"/>
      <c r="I58" s="19"/>
      <c r="J58" s="19"/>
      <c r="K58" s="19"/>
      <c r="Z58" s="1"/>
      <c r="AA58" s="3"/>
      <c r="AB58" s="3"/>
      <c r="AC58"/>
      <c r="AD58" s="4"/>
      <c r="AE58" s="4"/>
      <c r="AF58" s="1"/>
      <c r="AG58" s="1"/>
      <c r="AH58"/>
      <c r="AI58"/>
      <c r="AJ58"/>
      <c r="AK58"/>
      <c r="AL58"/>
      <c r="AM58"/>
    </row>
    <row r="59" spans="2:39" s="5" customFormat="1" x14ac:dyDescent="0.55000000000000004">
      <c r="B59" s="8"/>
      <c r="H59" s="19"/>
      <c r="I59" s="19"/>
      <c r="J59" s="19"/>
      <c r="K59" s="19"/>
      <c r="Z59" s="1"/>
      <c r="AA59" s="3"/>
      <c r="AB59" s="3"/>
      <c r="AC59"/>
      <c r="AD59" s="4"/>
      <c r="AE59" s="4"/>
      <c r="AF59" s="1"/>
      <c r="AG59" s="1"/>
      <c r="AH59"/>
      <c r="AI59"/>
      <c r="AJ59"/>
      <c r="AK59"/>
      <c r="AL59"/>
      <c r="AM59"/>
    </row>
    <row r="60" spans="2:39" s="5" customFormat="1" x14ac:dyDescent="0.55000000000000004">
      <c r="B60" s="8"/>
      <c r="H60" s="19"/>
      <c r="I60" s="19"/>
      <c r="J60" s="19"/>
      <c r="K60" s="19"/>
      <c r="Z60" s="1"/>
      <c r="AA60" s="3"/>
      <c r="AB60" s="3"/>
      <c r="AC60"/>
      <c r="AD60" s="4"/>
      <c r="AE60" s="4"/>
      <c r="AF60" s="1"/>
      <c r="AG60" s="1"/>
      <c r="AH60"/>
      <c r="AI60"/>
      <c r="AJ60"/>
      <c r="AK60"/>
      <c r="AL60"/>
      <c r="AM60"/>
    </row>
    <row r="61" spans="2:39" s="5" customFormat="1" x14ac:dyDescent="0.55000000000000004">
      <c r="B61" s="8"/>
      <c r="H61" s="19"/>
      <c r="I61" s="19"/>
      <c r="J61" s="19"/>
      <c r="K61" s="19"/>
      <c r="Z61" s="1"/>
      <c r="AA61" s="2"/>
      <c r="AB61" s="2"/>
      <c r="AC61"/>
      <c r="AD61"/>
      <c r="AE61"/>
      <c r="AF61"/>
      <c r="AG61"/>
      <c r="AH61"/>
      <c r="AI61"/>
      <c r="AJ61"/>
      <c r="AK61"/>
      <c r="AL61"/>
      <c r="AM61"/>
    </row>
    <row r="62" spans="2:39" s="5" customFormat="1" x14ac:dyDescent="0.55000000000000004">
      <c r="B62" s="8"/>
      <c r="H62" s="19"/>
      <c r="I62" s="19"/>
      <c r="J62" s="19"/>
      <c r="K62" s="19"/>
      <c r="Z62" s="1"/>
      <c r="AA62" s="2"/>
      <c r="AB62" s="2"/>
      <c r="AC62"/>
      <c r="AD62"/>
      <c r="AE62"/>
      <c r="AF62"/>
      <c r="AG62"/>
      <c r="AH62"/>
      <c r="AI62"/>
      <c r="AJ62"/>
      <c r="AK62"/>
      <c r="AL62"/>
      <c r="AM62"/>
    </row>
  </sheetData>
  <mergeCells count="4">
    <mergeCell ref="F2:J2"/>
    <mergeCell ref="F4:F5"/>
    <mergeCell ref="G4:G5"/>
    <mergeCell ref="F21:L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AFE07-E5B5-4B8B-B134-C310003AF7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10.25.22Lag</vt:lpstr>
      <vt:lpstr>10.26.22Lag</vt:lpstr>
      <vt:lpstr>11.2.22Lag</vt:lpstr>
      <vt:lpstr>11.2.22LagB</vt:lpstr>
      <vt:lpstr>9.25.23overflow</vt:lpstr>
      <vt:lpstr>9.25.23reverse</vt:lpstr>
      <vt:lpstr>9.26.23reverse</vt:lpstr>
      <vt:lpstr>9.26.23local</vt:lpstr>
      <vt:lpstr>11.14.22local</vt:lpstr>
      <vt:lpstr>1.30.23over</vt:lpstr>
      <vt:lpstr>8.22.23Local</vt:lpstr>
      <vt:lpstr>8.22.23LowP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Laurianne Lair</cp:lastModifiedBy>
  <cp:lastPrinted>2022-11-18T13:42:52Z</cp:lastPrinted>
  <dcterms:created xsi:type="dcterms:W3CDTF">2021-01-27T16:25:52Z</dcterms:created>
  <dcterms:modified xsi:type="dcterms:W3CDTF">2024-09-03T19:24:27Z</dcterms:modified>
</cp:coreProperties>
</file>